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ESS Mapping" sheetId="1" r:id="rId1"/>
    <sheet name="Deck Mapping" sheetId="2" r:id="rId2"/>
    <sheet name="Navigation Mapping" sheetId="3" r:id="rId3"/>
    <sheet name="Engineering Mapping" sheetId="4" r:id="rId4"/>
    <sheet name="LROCP Mapping" sheetId="5" r:id="rId5"/>
    <sheet name="DMLA" sheetId="6" r:id="rId6"/>
    <sheet name="Assessment Conditions" sheetId="7" r:id="rId7"/>
  </sheets>
  <definedNames>
    <definedName name="_xlnm._FilterDatabase" localSheetId="0">'ESS Mapping'!A2:K69</definedName>
    <definedName name="_xlnm._FilterDatabase" localSheetId="1">'Deck Mapping'!A2:M212</definedName>
    <definedName name="_xlnm._FilterDatabase" localSheetId="2">'Navigation Mapping'!A2:I2</definedName>
    <definedName name="_xlnm._FilterDatabase" localSheetId="3">'Engineering Mapping'!A2:J2</definedName>
    <definedName name="_xlnm._FilterDatabase" localSheetId="4">'LROCP Mapping'!A2:G2</definedName>
    <definedName name="_xlnm._FilterDatabase" localSheetId="5">'DMLA'!A2:J2</definedName>
    <definedName name="_xlnm._FilterDatabase" localSheetId="6">'Assessment Conditions'!A1:B151</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0"/>
  <fonts count="7" x14ac:knownFonts="1">
    <font>
      <sz val="11"/>
      <name val="Calibri"/>
    </font>
    <font>
      <sz val="11"/>
      <name val="Calibri"/>
    </font>
    <font>
      <sz val="11"/>
      <name val="Calibri"/>
      <b/>
      <color rgb="FFFFFF"/>
    </font>
    <font>
      <sz val="11"/>
      <name val="Calibri"/>
      <b/>
      <color rgb="000000"/>
    </font>
    <font>
      <sz val="11"/>
      <name val="Calibri"/>
      <b/>
      <color rgb="000000"/>
    </font>
    <font>
      <sz val="11"/>
      <name val="Calibri"/>
      <b/>
      <color rgb="FFFFFF"/>
    </font>
    <font>
      <sz val="11"/>
      <name val="Calibri"/>
      <b/>
    </font>
  </fonts>
  <fills count="16">
    <fill>
      <patternFill patternType="none">
        <bgColor/>
      </patternFill>
    </fill>
    <fill>
      <patternFill patternType="gray125">
        <bgColor/>
      </patternFill>
    </fill>
    <fill>
      <patternFill patternType="solid">
        <fgColor rgb="FF4472C4"/>
        <bgColor/>
      </patternFill>
    </fill>
    <fill>
      <patternFill patternType="solid">
        <fgColor rgb="FF808080"/>
        <bgColor/>
      </patternFill>
    </fill>
    <fill>
      <patternFill patternType="solid">
        <fgColor rgb="FFFFD966"/>
        <bgColor/>
      </patternFill>
    </fill>
    <fill>
      <patternFill patternType="solid">
        <fgColor rgb="FFFFFFFF"/>
        <bgColor/>
      </patternFill>
    </fill>
    <fill>
      <patternFill patternType="solid">
        <fgColor rgb="FFFFFFFF"/>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D9E1F2"/>
        <bgColor/>
      </patternFill>
    </fill>
    <fill>
      <patternFill patternType="solid">
        <fgColor rgb="FF000000"/>
        <bgColor/>
      </patternFill>
    </fill>
    <fill>
      <patternFill patternType="solid">
        <fgColor rgb="FF4472C4"/>
        <bgColor/>
      </patternFill>
    </fill>
    <fill>
      <patternFill patternType="solid">
        <fgColor rgb="FFD9E1F2"/>
        <bgColor/>
      </patternFill>
    </fill>
    <fill>
      <patternFill patternType="solid">
        <fgColor rgb="FF000000"/>
        <bgColor/>
      </patternFill>
    </fill>
    <fill>
      <patternFill patternType="solid">
        <fgColor rgb="FFFFFFFF"/>
        <bgColor/>
      </patternFill>
    </fill>
  </fills>
  <borders count="16">
    <border>
      <left/>
      <right/>
      <top/>
      <bottom/>
      <diagonal/>
    </border>
    <border>
      <left/>
      <right/>
      <top/>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8EA8DB"/>
      </left>
      <right style="thin">
        <color rgb="8EA8DB"/>
      </right>
      <top style="thin">
        <color rgb="8EA8DB"/>
      </top>
      <bottom style="thin">
        <color rgb="8EA8DB"/>
      </bottom>
      <diagonal/>
    </border>
    <border>
      <left style="thin">
        <color rgb="D4D4D4"/>
      </left>
      <right style="thin">
        <color rgb="D4D4D4"/>
      </right>
      <top style="thin">
        <color rgb="D4D4D4"/>
      </top>
      <bottom style="thin">
        <color rgb="D4D4D4"/>
      </bottom>
      <diagonal/>
    </border>
    <border>
      <left style="thin">
        <color rgb="D4D4D4"/>
      </left>
      <right style="thin">
        <color rgb="D4D4D4"/>
      </right>
      <top style="thin">
        <color rgb="D4D4D4"/>
      </top>
      <bottom style="thin">
        <color rgb="D4D4D4"/>
      </bottom>
      <diagonal/>
    </border>
    <border>
      <left style="thin">
        <color rgb="8EA8DB"/>
      </left>
      <right/>
      <top style="thin">
        <color rgb="8EA8DB"/>
      </top>
      <bottom style="thin">
        <color rgb="8EA8DB"/>
      </bottom>
      <diagonal/>
    </border>
    <border>
      <left/>
      <right/>
      <top style="thin">
        <color rgb="8EA8DB"/>
      </top>
      <bottom style="thin">
        <color rgb="8EA8DB"/>
      </bottom>
      <diagonal/>
    </border>
    <border>
      <left/>
      <right/>
      <top style="thin">
        <color rgb="8EA8DB"/>
      </top>
      <bottom style="thin">
        <color rgb="8EA8DB"/>
      </bottom>
      <diagonal/>
    </border>
    <border>
      <left/>
      <right style="thin">
        <color rgb="8EA8DB"/>
      </right>
      <top style="thin">
        <color rgb="8EA8DB"/>
      </top>
      <bottom style="thin">
        <color rgb="8EA8DB"/>
      </bottom>
      <diagonal/>
    </border>
    <border>
      <left style="thin">
        <color rgb="000000"/>
      </left>
      <right style="thin">
        <color rgb="000000"/>
      </right>
      <top style="thin">
        <color rgb="000000"/>
      </top>
      <bottom style="thin">
        <color rgb="000000"/>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
      <left style="thin">
        <color rgb="000000"/>
      </left>
      <right style="thin">
        <color rgb="000000"/>
      </right>
      <top style="thin">
        <color rgb="000000"/>
      </top>
      <bottom style="thin">
        <color rgb="000000"/>
      </bottom>
      <diagonal/>
    </border>
    <border>
      <left style="thin">
        <color rgb="D3D3D3"/>
      </left>
      <right style="thin">
        <color rgb="D3D3D3"/>
      </right>
      <top style="thin">
        <color rgb="D3D3D3"/>
      </top>
      <bottom style="thin">
        <color rgb="D3D3D3"/>
      </bottom>
      <diagonal/>
    </border>
  </borders>
  <cellStyleXfs>
    <xf numFmtId="0" fontId="0" fillId="0" borderId="0"/>
  </cellStyleXfs>
  <cellXfs count="17">
    <xf numFmtId="0" fontId="0" fillId="0" borderId="0" xfId="0"/>
    <xf numFmtId="0" fontId="1" fillId="1" borderId="1" xfId="0" applyFont="1" applyFill="1" applyBorder="1"/>
    <xf numFmtId="0" fontId="0" fillId="0" borderId="0" xfId="0"/>
    <xf numFmtId="0" fontId="2" fillId="2" borderId="2" xfId="0" applyFont="1" applyFill="1" applyBorder="1" applyAlignment="1">
      <alignment horizontal="center" vertical="center" wrapText="true"/>
    </xf>
    <xf numFmtId="0" fontId="3" fillId="3" borderId="3" xfId="0" applyFont="1" applyFill="1" applyBorder="1" applyAlignment="1">
      <alignment horizontal="center" vertical="center" wrapText="true"/>
    </xf>
    <xf numFmtId="0" fontId="4" fillId="4" borderId="4" xfId="0" applyFont="1" applyFill="1" applyBorder="1" applyAlignment="1">
      <alignment horizontal="center" vertical="center" wrapText="true"/>
    </xf>
    <xf numFmtId="0" fontId="0" fillId="5" borderId="5" xfId="0" applyFill="1" applyBorder="1" applyAlignment="1">
      <alignment horizontal="center" vertical="center" wrapText="true"/>
    </xf>
    <xf numFmtId="0" fontId="0" fillId="6" borderId="6" xfId="0" applyFill="1" applyBorder="1" applyAlignment="1">
      <alignment horizontal="left" vertical="center" wrapText="true"/>
    </xf>
    <xf numFmtId="0" fontId="0" fillId="7" borderId="7" xfId="0" applyFill="1" applyBorder="1" applyAlignment="1">
      <alignment horizontal="center" vertical="center" wrapText="true"/>
    </xf>
    <xf numFmtId="0" fontId="0" fillId="8" borderId="8" xfId="0" applyFill="1" applyBorder="1" applyAlignment="1">
      <alignment horizontal="center" vertical="center" wrapText="true"/>
    </xf>
    <xf numFmtId="0" fontId="0" fillId="9" borderId="9" xfId="0" applyFill="1" applyBorder="1" applyAlignment="1">
      <alignment horizontal="left" vertical="center" wrapText="true"/>
    </xf>
    <xf numFmtId="0" fontId="0" fillId="10" borderId="10" xfId="0" applyFill="1" applyBorder="1" applyAlignment="1">
      <alignment horizontal="center" vertical="center" wrapText="true"/>
    </xf>
    <xf numFmtId="0" fontId="5" fillId="11" borderId="11" xfId="0" applyFont="1" applyFill="1" applyBorder="1" applyAlignment="1">
      <alignment horizontal="center" vertical="center"/>
    </xf>
    <xf numFmtId="0" fontId="6" fillId="12" borderId="12" xfId="0" applyFont="1" applyFill="1" applyBorder="1" applyAlignment="1">
      <alignment horizontal="center" vertical="center"/>
    </xf>
    <xf numFmtId="0" fontId="0" fillId="13" borderId="13" xfId="0" applyFill="1" applyBorder="1" applyAlignment="1">
      <alignment horizontal="left" vertical="center" wrapText="true"/>
    </xf>
    <xf numFmtId="0" fontId="0" fillId="14" borderId="14" xfId="0" applyFill="1" applyBorder="1" applyAlignment="1">
      <alignment horizontal="left" vertical="center" wrapText="true"/>
    </xf>
    <xf numFmtId="0" fontId="0" fillId="15" borderId="15" xfId="0" applyFill="1" applyBorder="1" applyAlignment="1">
      <alignment horizontal="left" vertical="center" wrapText="true"/>
    </xf>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K69"/>
  <sheetViews>
    <sheetView workbookViewId="0"/>
  </sheetViews>
  <cols>
    <col min="1" max="1" width="64.83203125" customWidth="1"/>
    <col min="2" max="2" width="53.83203125" customWidth="1"/>
    <col min="3" max="3" width="14.83203125" customWidth="1"/>
    <col min="4" max="4" width="100.83203125" customWidth="1"/>
    <col min="5" max="5" width="18.83203125" customWidth="1"/>
    <col min="6" max="6" width="10.83203125" customWidth="1"/>
    <col min="7" max="7" width="20.83203125" customWidth="1"/>
    <col min="8" max="8" width="26.83203125" customWidth="1"/>
    <col min="9" max="9" width="28.83203125" customWidth="1"/>
    <col min="10" max="10" width="28.83203125" customWidth="1"/>
    <col min="11" max="11" width="39.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c r="J1" s="3" t="str">
        <v/>
      </c>
      <c r="K1" s="3" t="str">
        <v/>
      </c>
    </row>
    <row r="2">
      <c r="A2" s="3" t="str">
        <v>Unit</v>
      </c>
      <c r="B2" s="3" t="str">
        <v>Element</v>
      </c>
      <c r="C2" s="3" t="str">
        <v>Criteria/Evidence</v>
      </c>
      <c r="D2" s="3" t="str">
        <v>Performance Criteria</v>
      </c>
      <c r="E2" s="3" t="str">
        <v>AMPA Conditions</v>
      </c>
      <c r="F2" s="3" t="str">
        <v>Mapping Count</v>
      </c>
      <c r="G2" s="3" t="str">
        <v>Sea Survival Knowledge</v>
      </c>
      <c r="H2" s="3" t="str">
        <v>Fire Fighting at Sea Knowledge</v>
      </c>
      <c r="I2" s="3" t="str">
        <v>Fire Fighting at Sea - Classroom</v>
      </c>
      <c r="J2" s="3" t="str">
        <v>Sea Survival - Pool -Performance</v>
      </c>
      <c r="K2" s="3" t="str">
        <v xml:space="preserve">Fire fighting at Sea - The Lea - Performance </v>
      </c>
    </row>
    <row r="3">
      <c r="A3" s="6" t="str">
        <v>MARF028 Follow procedures to minimise and fight fires on board a vessel</v>
      </c>
      <c r="B3" s="6" t="str">
        <v>1. Carry out fire minimisation procedures</v>
      </c>
      <c r="C3" s="6" t="str">
        <v>1.1</v>
      </c>
      <c r="D3" s="7" t="str">
        <v>Fire hazards and risks on board vessel are identified and reported to designated personnel according to workplace procedures</v>
      </c>
      <c r="E3" s="6" t="str">
        <v/>
      </c>
      <c r="F3" s="6" t="str">
        <f>SUMPRODUCT(--((G3:K3&lt;&gt;"")*( G3:K3&lt;&gt;0)))</f>
        <v/>
      </c>
      <c r="G3" s="6" t="str">
        <v/>
      </c>
      <c r="H3" s="6" t="str">
        <v/>
      </c>
      <c r="I3" s="6" t="str">
        <v/>
      </c>
      <c r="J3" s="6" t="str">
        <v/>
      </c>
      <c r="K3" s="6" t="str">
        <v/>
      </c>
    </row>
    <row r="4">
      <c r="A4" s="8" t="str">
        <v>MARF028 Follow procedures to minimise and fight fires on board a vessel</v>
      </c>
      <c r="B4" s="9" t="str">
        <v>1. Carry out fire minimisation procedures</v>
      </c>
      <c r="C4" s="9" t="str">
        <v>1.2</v>
      </c>
      <c r="D4" s="10" t="str">
        <v>Workplace procedures and work instructions for controlling fire risks are followed</v>
      </c>
      <c r="E4" s="9" t="str">
        <v/>
      </c>
      <c r="F4" s="9" t="str">
        <f>SUMPRODUCT(--((G4:K4&lt;&gt;"")*( G4:K4&lt;&gt;0)))</f>
        <v/>
      </c>
      <c r="G4" s="9" t="str">
        <v/>
      </c>
      <c r="H4" s="9" t="str">
        <v/>
      </c>
      <c r="I4" s="9" t="str">
        <v/>
      </c>
      <c r="J4" s="9" t="str">
        <v/>
      </c>
      <c r="K4" s="11" t="str">
        <v/>
      </c>
    </row>
    <row r="5">
      <c r="A5" s="6" t="str">
        <v>MARF028 Follow procedures to minimise and fight fires on board a vessel</v>
      </c>
      <c r="B5" s="6" t="str">
        <v>1. Carry out fire minimisation procedures</v>
      </c>
      <c r="C5" s="6" t="str">
        <v>1.3</v>
      </c>
      <c r="D5" s="7" t="str">
        <v>Firefighting equipment is regularly checked and appropriate action is taken to ensure it is operational</v>
      </c>
      <c r="E5" s="6" t="str">
        <v/>
      </c>
      <c r="F5" s="6" t="str">
        <f>SUMPRODUCT(--((G5:K5&lt;&gt;"")*( G5:K5&lt;&gt;0)))</f>
        <v/>
      </c>
      <c r="G5" s="6" t="str">
        <v/>
      </c>
      <c r="H5" s="6" t="str">
        <v/>
      </c>
      <c r="I5" s="6" t="str">
        <v/>
      </c>
      <c r="J5" s="6" t="str">
        <v/>
      </c>
      <c r="K5" s="6" t="str">
        <v/>
      </c>
    </row>
    <row r="6">
      <c r="A6" s="8" t="str">
        <v>MARF028 Follow procedures to minimise and fight fires on board a vessel</v>
      </c>
      <c r="B6" s="9" t="str">
        <v>1. Carry out fire minimisation procedures</v>
      </c>
      <c r="C6" s="9" t="str">
        <v>1.4</v>
      </c>
      <c r="D6" s="10" t="str">
        <v>Participation in fire drills and musters is undertaken to ensure readiness for fire emergencies</v>
      </c>
      <c r="E6" s="9" t="str">
        <v/>
      </c>
      <c r="F6" s="9" t="str">
        <f>SUMPRODUCT(--((G6:K6&lt;&gt;"")*( G6:K6&lt;&gt;0)))</f>
        <v/>
      </c>
      <c r="G6" s="9" t="str">
        <v/>
      </c>
      <c r="H6" s="9" t="str">
        <v/>
      </c>
      <c r="I6" s="9" t="str">
        <v/>
      </c>
      <c r="J6" s="9" t="str">
        <v/>
      </c>
      <c r="K6" s="11" t="str">
        <v/>
      </c>
    </row>
    <row r="7">
      <c r="A7" s="6" t="str">
        <v>MARF028 Follow procedures to minimise and fight fires on board a vessel</v>
      </c>
      <c r="B7" s="6" t="str">
        <v>2. Follow instructions during response to a fire emergency</v>
      </c>
      <c r="C7" s="6" t="str">
        <v>2.1</v>
      </c>
      <c r="D7" s="7" t="str">
        <v>Location and class of fire are identified and alarm is raised and or responded to according to workplace procedures</v>
      </c>
      <c r="E7" s="6" t="str">
        <v/>
      </c>
      <c r="F7" s="6" t="str">
        <f>SUMPRODUCT(--((G7:K7&lt;&gt;"")*( G7:K7&lt;&gt;0)))</f>
        <v/>
      </c>
      <c r="G7" s="6" t="str">
        <v/>
      </c>
      <c r="H7" s="6" t="str">
        <v/>
      </c>
      <c r="I7" s="6" t="str">
        <v/>
      </c>
      <c r="J7" s="6" t="str">
        <v/>
      </c>
      <c r="K7" s="6" t="str">
        <v/>
      </c>
    </row>
    <row r="8">
      <c r="A8" s="8" t="str">
        <v>MARF028 Follow procedures to minimise and fight fires on board a vessel</v>
      </c>
      <c r="B8" s="9" t="str">
        <v>2. Follow instructions during response to a fire emergency</v>
      </c>
      <c r="C8" s="9" t="str">
        <v>2.2</v>
      </c>
      <c r="D8" s="10" t="str">
        <v>Appropriate personal protective equipment (PPE) requirements are made ready</v>
      </c>
      <c r="E8" s="9" t="str">
        <v/>
      </c>
      <c r="F8" s="9" t="str">
        <f>SUMPRODUCT(--((G8:K8&lt;&gt;"")*( G8:K8&lt;&gt;0)))</f>
        <v/>
      </c>
      <c r="G8" s="9" t="str">
        <v/>
      </c>
      <c r="H8" s="9" t="str">
        <v/>
      </c>
      <c r="I8" s="9" t="str">
        <v/>
      </c>
      <c r="J8" s="9" t="str">
        <v/>
      </c>
      <c r="K8" s="11" t="str">
        <v/>
      </c>
    </row>
    <row r="9">
      <c r="A9" s="6" t="str">
        <v>MARF028 Follow procedures to minimise and fight fires on board a vessel</v>
      </c>
      <c r="B9" s="6" t="str">
        <v>2. Follow instructions during response to a fire emergency</v>
      </c>
      <c r="C9" s="6" t="str">
        <v>2.3</v>
      </c>
      <c r="D9" s="7" t="str">
        <v>Instructions to contain the spread of fire and smoke are acted upon</v>
      </c>
      <c r="E9" s="6" t="str">
        <v/>
      </c>
      <c r="F9" s="6" t="str">
        <f>SUMPRODUCT(--((G9:K9&lt;&gt;"")*( G9:K9&lt;&gt;0)))</f>
        <v/>
      </c>
      <c r="G9" s="6" t="str">
        <v/>
      </c>
      <c r="H9" s="6" t="str">
        <v/>
      </c>
      <c r="I9" s="6" t="str">
        <v/>
      </c>
      <c r="J9" s="6" t="str">
        <v/>
      </c>
      <c r="K9" s="6" t="str">
        <v/>
      </c>
    </row>
    <row r="10">
      <c r="A10" s="8" t="str">
        <v>MARF028 Follow procedures to minimise and fight fires on board a vessel</v>
      </c>
      <c r="B10" s="9" t="str">
        <v>2. Follow instructions during response to a fire emergency</v>
      </c>
      <c r="C10" s="9" t="str">
        <v>2.4</v>
      </c>
      <c r="D10" s="10" t="str">
        <v>Fire is attacked using appropriate method, firefighting equipment and extinguishing media or agent according to instructions</v>
      </c>
      <c r="E10" s="9" t="str">
        <v/>
      </c>
      <c r="F10" s="9" t="str">
        <f>SUMPRODUCT(--((G10:K10&lt;&gt;"")*( G10:K10&lt;&gt;0)))</f>
        <v/>
      </c>
      <c r="G10" s="9" t="str">
        <v/>
      </c>
      <c r="H10" s="9" t="str">
        <v/>
      </c>
      <c r="I10" s="9" t="str">
        <v/>
      </c>
      <c r="J10" s="9" t="str">
        <v/>
      </c>
      <c r="K10" s="11" t="str">
        <v/>
      </c>
    </row>
    <row r="11">
      <c r="A11" s="6" t="str">
        <v>MARF028 Follow procedures to minimise and fight fires on board a vessel</v>
      </c>
      <c r="B11" s="6" t="str">
        <v>2. Follow instructions during response to a fire emergency</v>
      </c>
      <c r="C11" s="6" t="str">
        <v>2.5</v>
      </c>
      <c r="D11" s="7" t="str">
        <v>Collaboration and communication is maintained with others to support the safety and efficiency of the firefighting operation</v>
      </c>
      <c r="E11" s="6" t="str">
        <v/>
      </c>
      <c r="F11" s="6" t="str">
        <f>SUMPRODUCT(--((G11:K11&lt;&gt;"")*( G11:K11&lt;&gt;0)))</f>
        <v/>
      </c>
      <c r="G11" s="6" t="str">
        <v/>
      </c>
      <c r="H11" s="6" t="str">
        <v/>
      </c>
      <c r="I11" s="6" t="str">
        <v/>
      </c>
      <c r="J11" s="6" t="str">
        <v/>
      </c>
      <c r="K11" s="6" t="str">
        <v/>
      </c>
    </row>
    <row r="12">
      <c r="A12" s="8" t="str">
        <v>MARF028 Follow procedures to minimise and fight fires on board a vessel</v>
      </c>
      <c r="B12" s="9" t="str">
        <v>3. Support post-fire operations</v>
      </c>
      <c r="C12" s="9" t="str">
        <v>3.1</v>
      </c>
      <c r="D12" s="10" t="str">
        <v>Fire watch is carried out as instructed to prevent further outbreak</v>
      </c>
      <c r="E12" s="9" t="str">
        <v/>
      </c>
      <c r="F12" s="9" t="str">
        <f>SUMPRODUCT(--((G12:K12&lt;&gt;"")*( G12:K12&lt;&gt;0)))</f>
        <v/>
      </c>
      <c r="G12" s="9" t="str">
        <v/>
      </c>
      <c r="H12" s="9" t="str">
        <v/>
      </c>
      <c r="I12" s="9" t="str">
        <v/>
      </c>
      <c r="J12" s="9" t="str">
        <v/>
      </c>
      <c r="K12" s="11" t="str">
        <v/>
      </c>
    </row>
    <row r="13">
      <c r="A13" s="6" t="str">
        <v>MARF028 Follow procedures to minimise and fight fires on board a vessel</v>
      </c>
      <c r="B13" s="6" t="str">
        <v>3. Support post-fire operations</v>
      </c>
      <c r="C13" s="6" t="str">
        <v>3.2</v>
      </c>
      <c r="D13" s="7" t="str">
        <v>Equipment is restored to operational condition according to workplace instructions</v>
      </c>
      <c r="E13" s="6" t="str">
        <v/>
      </c>
      <c r="F13" s="6" t="str">
        <f>SUMPRODUCT(--((G13:K13&lt;&gt;"")*( G13:K13&lt;&gt;0)))</f>
        <v/>
      </c>
      <c r="G13" s="6" t="str">
        <v/>
      </c>
      <c r="H13" s="6" t="str">
        <v/>
      </c>
      <c r="I13" s="6" t="str">
        <v/>
      </c>
      <c r="J13" s="6" t="str">
        <v/>
      </c>
      <c r="K13" s="6" t="str">
        <v/>
      </c>
    </row>
    <row r="14">
      <c r="A14" s="8" t="str">
        <v>MARF028 Follow procedures to minimise and fight fires on board a vessel</v>
      </c>
      <c r="B14" s="9" t="str">
        <v>3. Support post-fire operations</v>
      </c>
      <c r="C14" s="9" t="str">
        <v>3.3</v>
      </c>
      <c r="D14" s="10" t="str">
        <v>Assistance is provided to preserve fire scene prior to investigation, as required</v>
      </c>
      <c r="E14" s="9" t="str">
        <v/>
      </c>
      <c r="F14" s="9" t="str">
        <f>SUMPRODUCT(--((G14:K14&lt;&gt;"")*( G14:K14&lt;&gt;0)))</f>
        <v/>
      </c>
      <c r="G14" s="9" t="str">
        <v/>
      </c>
      <c r="H14" s="9" t="str">
        <v/>
      </c>
      <c r="I14" s="9" t="str">
        <v/>
      </c>
      <c r="J14" s="9" t="str">
        <v/>
      </c>
      <c r="K14" s="11" t="str">
        <v/>
      </c>
    </row>
    <row r="15">
      <c r="A15" s="6" t="str">
        <v>MARF028 Follow procedures to minimise and fight fires on board a vessel</v>
      </c>
      <c r="B15" s="6" t="str">
        <v>3. Support post-fire operations</v>
      </c>
      <c r="C15" s="6" t="str">
        <v>3.4</v>
      </c>
      <c r="D15" s="7" t="str">
        <v>Information relevant for fire incident debrief is provided</v>
      </c>
      <c r="E15" s="6" t="str">
        <v/>
      </c>
      <c r="F15" s="6" t="str">
        <f>SUMPRODUCT(--((G15:K15&lt;&gt;"")*( G15:K15&lt;&gt;0)))</f>
        <v/>
      </c>
      <c r="G15" s="6" t="str">
        <v/>
      </c>
      <c r="H15" s="6" t="str">
        <v/>
      </c>
      <c r="I15" s="6" t="str">
        <v/>
      </c>
      <c r="J15" s="6" t="str">
        <v/>
      </c>
      <c r="K15" s="6" t="str">
        <v/>
      </c>
    </row>
    <row r="16" xml:space="preserve">
      <c r="A16" s="8" t="str">
        <v>MARF028 Follow procedures to minimise and fight fires on board a vessel</v>
      </c>
      <c r="B16" s="9" t="str">
        <v>Performance Evidence</v>
      </c>
      <c r="C16" s="9" t="str">
        <v>P1</v>
      </c>
      <c r="D16" s="10" t="str" xml:space="preserve">
        <v xml:space="preserve">Applying extinguishing media to a fire, and:
-	dry chemical powder
-	water</v>
      </c>
      <c r="E16" s="9" t="str">
        <v/>
      </c>
      <c r="F16" s="9" t="str">
        <f>SUMPRODUCT(--((G16:K16&lt;&gt;"")*( G16:K16&lt;&gt;0)))</f>
        <v/>
      </c>
      <c r="G16" s="9" t="str">
        <v/>
      </c>
      <c r="H16" s="9" t="str">
        <v/>
      </c>
      <c r="I16" s="9" t="str">
        <v/>
      </c>
      <c r="J16" s="9" t="str">
        <v/>
      </c>
      <c r="K16" s="11" t="str">
        <v/>
      </c>
    </row>
    <row r="17">
      <c r="A17" s="6" t="str">
        <v>MARF028 Follow procedures to minimise and fight fires on board a vessel</v>
      </c>
      <c r="B17" s="6" t="str">
        <v>Performance Evidence</v>
      </c>
      <c r="C17" s="6" t="str">
        <v>P2</v>
      </c>
      <c r="D17" s="7" t="str">
        <v>Applying work health and safety (WHS)/occupational health and safety (OHS) requirements and work practices</v>
      </c>
      <c r="E17" s="6" t="str">
        <v/>
      </c>
      <c r="F17" s="6" t="str">
        <f>SUMPRODUCT(--((G17:K17&lt;&gt;"")*( G17:K17&lt;&gt;0)))</f>
        <v/>
      </c>
      <c r="G17" s="6" t="str">
        <v/>
      </c>
      <c r="H17" s="6" t="str">
        <v/>
      </c>
      <c r="I17" s="6" t="str">
        <v/>
      </c>
      <c r="J17" s="6" t="str">
        <v/>
      </c>
      <c r="K17" s="6" t="str">
        <v/>
      </c>
    </row>
    <row r="18">
      <c r="A18" s="8" t="str">
        <v>MARF028 Follow procedures to minimise and fight fires on board a vessel</v>
      </c>
      <c r="B18" s="9" t="str">
        <v>Performance Evidence</v>
      </c>
      <c r="C18" s="9" t="str">
        <v>P3</v>
      </c>
      <c r="D18" s="10" t="str">
        <v>Communicating and working collaboratively as a member of a team in a firefighting operation</v>
      </c>
      <c r="E18" s="9" t="str">
        <v/>
      </c>
      <c r="F18" s="9" t="str">
        <f>SUMPRODUCT(--((G18:K18&lt;&gt;"")*( G18:K18&lt;&gt;0)))</f>
        <v/>
      </c>
      <c r="G18" s="9" t="str">
        <v/>
      </c>
      <c r="H18" s="9" t="str">
        <v/>
      </c>
      <c r="I18" s="9" t="str">
        <v/>
      </c>
      <c r="J18" s="9" t="str">
        <v/>
      </c>
      <c r="K18" s="11" t="str">
        <v/>
      </c>
    </row>
    <row r="19">
      <c r="A19" s="6" t="str">
        <v>MARF028 Follow procedures to minimise and fight fires on board a vessel</v>
      </c>
      <c r="B19" s="6" t="str">
        <v>Performance Evidence</v>
      </c>
      <c r="C19" s="6" t="str">
        <v>P4</v>
      </c>
      <c r="D19" s="7" t="str">
        <v>Conducting effective boundary cooling</v>
      </c>
      <c r="E19" s="6" t="str">
        <v/>
      </c>
      <c r="F19" s="6" t="str">
        <f>SUMPRODUCT(--((G19:K19&lt;&gt;"")*( G19:K19&lt;&gt;0)))</f>
        <v/>
      </c>
      <c r="G19" s="6" t="str">
        <v/>
      </c>
      <c r="H19" s="6" t="str">
        <v/>
      </c>
      <c r="I19" s="6" t="str">
        <v/>
      </c>
      <c r="J19" s="6" t="str">
        <v/>
      </c>
      <c r="K19" s="6" t="str">
        <v/>
      </c>
    </row>
    <row r="20">
      <c r="A20" s="8" t="str">
        <v>MARF028 Follow procedures to minimise and fight fires on board a vessel</v>
      </c>
      <c r="B20" s="9" t="str">
        <v>Performance Evidence</v>
      </c>
      <c r="C20" s="9" t="str">
        <v>P5</v>
      </c>
      <c r="D20" s="10" t="str">
        <v>Correctly using vessel closure and shutdown systems</v>
      </c>
      <c r="E20" s="9" t="str">
        <v/>
      </c>
      <c r="F20" s="9" t="str">
        <f>SUMPRODUCT(--((G20:K20&lt;&gt;"")*( G20:K20&lt;&gt;0)))</f>
        <v/>
      </c>
      <c r="G20" s="9" t="str">
        <v/>
      </c>
      <c r="H20" s="9" t="str">
        <v/>
      </c>
      <c r="I20" s="9" t="str">
        <v/>
      </c>
      <c r="J20" s="9" t="str">
        <v/>
      </c>
      <c r="K20" s="11" t="str">
        <v/>
      </c>
    </row>
    <row r="21">
      <c r="A21" s="6" t="str">
        <v>MARF028 Follow procedures to minimise and fight fires on board a vessel</v>
      </c>
      <c r="B21" s="6" t="str">
        <v>Performance Evidence</v>
      </c>
      <c r="C21" s="6" t="str">
        <v>P6</v>
      </c>
      <c r="D21" s="7" t="str">
        <v>Identifying fire hazards and risks</v>
      </c>
      <c r="E21" s="6" t="str">
        <v/>
      </c>
      <c r="F21" s="6" t="str">
        <f>SUMPRODUCT(--((G21:K21&lt;&gt;"")*( G21:K21&lt;&gt;0)))</f>
        <v/>
      </c>
      <c r="G21" s="6" t="str">
        <v/>
      </c>
      <c r="H21" s="6" t="str">
        <v/>
      </c>
      <c r="I21" s="6" t="str">
        <v/>
      </c>
      <c r="J21" s="6" t="str">
        <v/>
      </c>
      <c r="K21" s="6" t="str">
        <v/>
      </c>
    </row>
    <row r="22">
      <c r="A22" s="8" t="str">
        <v>MARF028 Follow procedures to minimise and fight fires on board a vessel</v>
      </c>
      <c r="B22" s="9" t="str">
        <v>Performance Evidence</v>
      </c>
      <c r="C22" s="9" t="str">
        <v>P7</v>
      </c>
      <c r="D22" s="10" t="str">
        <v>Using a fire blanket to extinguish a fire</v>
      </c>
      <c r="E22" s="9" t="str">
        <v/>
      </c>
      <c r="F22" s="9" t="str">
        <f>SUMPRODUCT(--((G22:K22&lt;&gt;"")*( G22:K22&lt;&gt;0)))</f>
        <v/>
      </c>
      <c r="G22" s="9" t="str">
        <v/>
      </c>
      <c r="H22" s="9" t="str">
        <v/>
      </c>
      <c r="I22" s="9" t="str">
        <v/>
      </c>
      <c r="J22" s="9" t="str">
        <v/>
      </c>
      <c r="K22" s="11" t="str">
        <v/>
      </c>
    </row>
    <row r="23">
      <c r="A23" s="6" t="str">
        <v>MARF028 Follow procedures to minimise and fight fires on board a vessel</v>
      </c>
      <c r="B23" s="6" t="str">
        <v>Performance Evidence</v>
      </c>
      <c r="C23" s="6" t="str">
        <v>P8</v>
      </c>
      <c r="D23" s="7" t="str">
        <v>Using fire hose lines (jet spray to fog stream).</v>
      </c>
      <c r="E23" s="6" t="str">
        <v/>
      </c>
      <c r="F23" s="6" t="str">
        <f>SUMPRODUCT(--((G23:K23&lt;&gt;"")*( G23:K23&lt;&gt;0)))</f>
        <v/>
      </c>
      <c r="G23" s="6" t="str">
        <v/>
      </c>
      <c r="H23" s="6" t="str">
        <v/>
      </c>
      <c r="I23" s="6" t="str">
        <v/>
      </c>
      <c r="J23" s="6" t="str">
        <v/>
      </c>
      <c r="K23" s="6" t="str">
        <v/>
      </c>
    </row>
    <row r="24">
      <c r="A24" s="8" t="str">
        <v>MARF028 Follow procedures to minimise and fight fires on board a vessel</v>
      </c>
      <c r="B24" s="9" t="str">
        <v>Performance Evidence</v>
      </c>
      <c r="C24" s="9" t="str">
        <v>P9</v>
      </c>
      <c r="D24" s="10" t="str">
        <v>Dry chemical powder</v>
      </c>
      <c r="E24" s="9" t="str">
        <v/>
      </c>
      <c r="F24" s="9" t="str">
        <f>SUMPRODUCT(--((G24:K24&lt;&gt;"")*( G24:K24&lt;&gt;0)))</f>
        <v/>
      </c>
      <c r="G24" s="9" t="str">
        <v/>
      </c>
      <c r="H24" s="9" t="str">
        <v/>
      </c>
      <c r="I24" s="9" t="str">
        <v/>
      </c>
      <c r="J24" s="9" t="str">
        <v/>
      </c>
      <c r="K24" s="11" t="str">
        <v/>
      </c>
    </row>
    <row r="25">
      <c r="A25" s="6" t="str">
        <v>MARF028 Follow procedures to minimise and fight fires on board a vessel</v>
      </c>
      <c r="B25" s="6" t="str">
        <v>Performance Evidence</v>
      </c>
      <c r="C25" s="6" t="str">
        <v>P10</v>
      </c>
      <c r="D25" s="7" t="str">
        <v>Water</v>
      </c>
      <c r="E25" s="6" t="str">
        <v/>
      </c>
      <c r="F25" s="6" t="str">
        <f>SUMPRODUCT(--((G25:K25&lt;&gt;"")*( G25:K25&lt;&gt;0)))</f>
        <v/>
      </c>
      <c r="G25" s="6" t="str">
        <v/>
      </c>
      <c r="H25" s="6" t="str">
        <v/>
      </c>
      <c r="I25" s="6" t="str">
        <v/>
      </c>
      <c r="J25" s="6" t="str">
        <v/>
      </c>
      <c r="K25" s="6" t="str">
        <v/>
      </c>
    </row>
    <row r="26">
      <c r="A26" s="8" t="str">
        <v>MARF028 Follow procedures to minimise and fight fires on board a vessel</v>
      </c>
      <c r="B26" s="9" t="str">
        <v>Knowledge Evidence</v>
      </c>
      <c r="C26" s="9" t="str">
        <v>K1</v>
      </c>
      <c r="D26" s="10" t="str">
        <v>Chemistry of fire and its relationship to flash point, vapour density, auto ignition temperature and spontaneous combustion</v>
      </c>
      <c r="E26" s="9" t="str">
        <v/>
      </c>
      <c r="F26" s="9" t="str">
        <f>SUMPRODUCT(--((G26:K26&lt;&gt;"")*( G26:K26&lt;&gt;0)))</f>
        <v/>
      </c>
      <c r="G26" s="9" t="str">
        <v/>
      </c>
      <c r="H26" s="9" t="str">
        <v/>
      </c>
      <c r="I26" s="9" t="str">
        <v/>
      </c>
      <c r="J26" s="9" t="str">
        <v/>
      </c>
      <c r="K26" s="11" t="str">
        <v/>
      </c>
    </row>
    <row r="27" xml:space="preserve">
      <c r="A27" s="6" t="str">
        <v>MARF028 Follow procedures to minimise and fight fires on board a vessel</v>
      </c>
      <c r="B27" s="6" t="str">
        <v>Knowledge Evidence</v>
      </c>
      <c r="C27" s="6" t="str">
        <v>K2</v>
      </c>
      <c r="D27" s="7" t="str" xml:space="preserve">
        <v xml:space="preserve">Classes of fire applicable to Australian and New Zealand Standards, includes:
-	A – Carbonaceous solids
-	B – Flammable liquids
-	C – Flammable gases
-	E – Electrically energised equipment
-	F – Cooking fats or oils</v>
      </c>
      <c r="E27" s="6" t="str">
        <v/>
      </c>
      <c r="F27" s="6" t="str">
        <f>SUMPRODUCT(--((G27:K27&lt;&gt;"")*( G27:K27&lt;&gt;0)))</f>
        <v/>
      </c>
      <c r="G27" s="6" t="str">
        <v/>
      </c>
      <c r="H27" s="6" t="str">
        <v/>
      </c>
      <c r="I27" s="6" t="str">
        <v/>
      </c>
      <c r="J27" s="6" t="str">
        <v/>
      </c>
      <c r="K27" s="6" t="str">
        <v/>
      </c>
    </row>
    <row r="28">
      <c r="A28" s="8" t="str">
        <v>MARF028 Follow procedures to minimise and fight fires on board a vessel</v>
      </c>
      <c r="B28" s="9" t="str">
        <v>Knowledge Evidence</v>
      </c>
      <c r="C28" s="9" t="str">
        <v>K3</v>
      </c>
      <c r="D28" s="10" t="str">
        <v>Detection and suppression systems, including fixed firefighting systems</v>
      </c>
      <c r="E28" s="9" t="str">
        <v/>
      </c>
      <c r="F28" s="9" t="str">
        <f>SUMPRODUCT(--((G28:K28&lt;&gt;"")*( G28:K28&lt;&gt;0)))</f>
        <v/>
      </c>
      <c r="G28" s="9" t="str">
        <v/>
      </c>
      <c r="H28" s="9" t="str">
        <v/>
      </c>
      <c r="I28" s="9" t="str">
        <v/>
      </c>
      <c r="J28" s="9" t="str">
        <v/>
      </c>
      <c r="K28" s="11" t="str">
        <v/>
      </c>
    </row>
    <row r="29" xml:space="preserve">
      <c r="A29" s="6" t="str">
        <v>MARF028 Follow procedures to minimise and fight fires on board a vessel</v>
      </c>
      <c r="B29" s="6" t="str">
        <v>Knowledge Evidence</v>
      </c>
      <c r="C29" s="6" t="str">
        <v>K4</v>
      </c>
      <c r="D29" s="7" t="str" xml:space="preserve">
        <v xml:space="preserve">Extinguishing media, and their use, includes:
-	extinguishing powders
-	firefighting foams
-	gaseous extinguishing agents
-	water</v>
      </c>
      <c r="E29" s="6" t="str">
        <v/>
      </c>
      <c r="F29" s="6" t="str">
        <f>SUMPRODUCT(--((G29:K29&lt;&gt;"")*( G29:K29&lt;&gt;0)))</f>
        <v/>
      </c>
      <c r="G29" s="6" t="str">
        <v/>
      </c>
      <c r="H29" s="6" t="str">
        <v/>
      </c>
      <c r="I29" s="6" t="str">
        <v/>
      </c>
      <c r="J29" s="6" t="str">
        <v/>
      </c>
      <c r="K29" s="6" t="str">
        <v/>
      </c>
    </row>
    <row r="30">
      <c r="A30" s="8" t="str">
        <v>MARF028 Follow procedures to minimise and fight fires on board a vessel</v>
      </c>
      <c r="B30" s="9" t="str">
        <v>Knowledge Evidence</v>
      </c>
      <c r="C30" s="9" t="str">
        <v>K5</v>
      </c>
      <c r="D30" s="10" t="str">
        <v>Fire alarms and signals during on-board fire emergency</v>
      </c>
      <c r="E30" s="9" t="str">
        <v/>
      </c>
      <c r="F30" s="9" t="str">
        <f>SUMPRODUCT(--((G30:K30&lt;&gt;"")*( G30:K30&lt;&gt;0)))</f>
        <v/>
      </c>
      <c r="G30" s="9" t="str">
        <v/>
      </c>
      <c r="H30" s="9" t="str">
        <v/>
      </c>
      <c r="I30" s="9" t="str">
        <v/>
      </c>
      <c r="J30" s="9" t="str">
        <v/>
      </c>
      <c r="K30" s="11" t="str">
        <v/>
      </c>
    </row>
    <row r="31" xml:space="preserve">
      <c r="A31" s="6" t="str">
        <v>MARF028 Follow procedures to minimise and fight fires on board a vessel</v>
      </c>
      <c r="B31" s="6" t="str">
        <v>Knowledge Evidence</v>
      </c>
      <c r="C31" s="6" t="str">
        <v>K6</v>
      </c>
      <c r="D31" s="7" t="str" xml:space="preserve">
        <v xml:space="preserve">Fire hazards and risks, includes:
-	cargo
-	clothing
-	cooking oils
-	cordage
-	electrical arcing
-	fuels and lubricants
-	furnishings
-	paints
-	poor housekeeping
-	poor work practices
-	smoking
-	spontaneous combustion</v>
      </c>
      <c r="E31" s="6" t="str">
        <v/>
      </c>
      <c r="F31" s="6" t="str">
        <f>SUMPRODUCT(--((G31:K31&lt;&gt;"")*( G31:K31&lt;&gt;0)))</f>
        <v/>
      </c>
      <c r="G31" s="6" t="str">
        <v/>
      </c>
      <c r="H31" s="6" t="str">
        <v/>
      </c>
      <c r="I31" s="6" t="str">
        <v/>
      </c>
      <c r="J31" s="6" t="str">
        <v/>
      </c>
      <c r="K31" s="6" t="str">
        <v/>
      </c>
    </row>
    <row r="32">
      <c r="A32" s="8" t="str">
        <v>MARF028 Follow procedures to minimise and fight fires on board a vessel</v>
      </c>
      <c r="B32" s="9" t="str">
        <v>Knowledge Evidence</v>
      </c>
      <c r="C32" s="9" t="str">
        <v>K7</v>
      </c>
      <c r="D32" s="10" t="str">
        <v>Fire pumps</v>
      </c>
      <c r="E32" s="9" t="str">
        <v/>
      </c>
      <c r="F32" s="9" t="str">
        <f>SUMPRODUCT(--((G32:K32&lt;&gt;"")*( G32:K32&lt;&gt;0)))</f>
        <v/>
      </c>
      <c r="G32" s="9" t="str">
        <v/>
      </c>
      <c r="H32" s="9" t="str">
        <v/>
      </c>
      <c r="I32" s="9" t="str">
        <v/>
      </c>
      <c r="J32" s="9" t="str">
        <v/>
      </c>
      <c r="K32" s="11" t="str">
        <v/>
      </c>
    </row>
    <row r="33">
      <c r="A33" s="6" t="str">
        <v>MARF028 Follow procedures to minimise and fight fires on board a vessel</v>
      </c>
      <c r="B33" s="6" t="str">
        <v>Knowledge Evidence</v>
      </c>
      <c r="C33" s="6" t="str">
        <v>K8</v>
      </c>
      <c r="D33" s="7" t="str">
        <v>Firefighting tactics, techniques and procedures, including team dynamics</v>
      </c>
      <c r="E33" s="6" t="str">
        <v/>
      </c>
      <c r="F33" s="6" t="str">
        <f>SUMPRODUCT(--((G33:K33&lt;&gt;"")*( G33:K33&lt;&gt;0)))</f>
        <v/>
      </c>
      <c r="G33" s="6" t="str">
        <v/>
      </c>
      <c r="H33" s="6" t="str">
        <v/>
      </c>
      <c r="I33" s="6" t="str">
        <v/>
      </c>
      <c r="J33" s="6" t="str">
        <v/>
      </c>
      <c r="K33" s="6" t="str">
        <v/>
      </c>
    </row>
    <row r="34">
      <c r="A34" s="8" t="str">
        <v>MARF028 Follow procedures to minimise and fight fires on board a vessel</v>
      </c>
      <c r="B34" s="9" t="str">
        <v>Knowledge Evidence</v>
      </c>
      <c r="C34" s="9" t="str">
        <v>K9</v>
      </c>
      <c r="D34" s="10" t="str">
        <v>Hazards and threats to life or health during on-board firefighting operations</v>
      </c>
      <c r="E34" s="9" t="str">
        <v/>
      </c>
      <c r="F34" s="9" t="str">
        <f>SUMPRODUCT(--((G34:K34&lt;&gt;"")*( G34:K34&lt;&gt;0)))</f>
        <v/>
      </c>
      <c r="G34" s="9" t="str">
        <v/>
      </c>
      <c r="H34" s="9" t="str">
        <v/>
      </c>
      <c r="I34" s="9" t="str">
        <v/>
      </c>
      <c r="J34" s="9" t="str">
        <v/>
      </c>
      <c r="K34" s="11" t="str">
        <v/>
      </c>
    </row>
    <row r="35">
      <c r="A35" s="6" t="str">
        <v>MARF028 Follow procedures to minimise and fight fires on board a vessel</v>
      </c>
      <c r="B35" s="6" t="str">
        <v>Knowledge Evidence</v>
      </c>
      <c r="C35" s="6" t="str">
        <v>K10</v>
      </c>
      <c r="D35" s="7" t="str">
        <v>International shore connections</v>
      </c>
      <c r="E35" s="6" t="str">
        <v/>
      </c>
      <c r="F35" s="6" t="str">
        <f>SUMPRODUCT(--((G35:K35&lt;&gt;"")*( G35:K35&lt;&gt;0)))</f>
        <v/>
      </c>
      <c r="G35" s="6" t="str">
        <v/>
      </c>
      <c r="H35" s="6" t="str">
        <v/>
      </c>
      <c r="I35" s="6" t="str">
        <v/>
      </c>
      <c r="J35" s="6" t="str">
        <v/>
      </c>
      <c r="K35" s="6" t="str">
        <v/>
      </c>
    </row>
    <row r="36">
      <c r="A36" s="8" t="str">
        <v>MARF028 Follow procedures to minimise and fight fires on board a vessel</v>
      </c>
      <c r="B36" s="9" t="str">
        <v>Knowledge Evidence</v>
      </c>
      <c r="C36" s="9" t="str">
        <v>K11</v>
      </c>
      <c r="D36" s="10" t="str">
        <v>Methods of heat transfer</v>
      </c>
      <c r="E36" s="9" t="str">
        <v/>
      </c>
      <c r="F36" s="9" t="str">
        <f>SUMPRODUCT(--((G36:K36&lt;&gt;"")*( G36:K36&lt;&gt;0)))</f>
        <v/>
      </c>
      <c r="G36" s="9" t="str">
        <v/>
      </c>
      <c r="H36" s="9" t="str">
        <v/>
      </c>
      <c r="I36" s="9" t="str">
        <v/>
      </c>
      <c r="J36" s="9" t="str">
        <v/>
      </c>
      <c r="K36" s="11" t="str">
        <v/>
      </c>
    </row>
    <row r="37">
      <c r="A37" s="6" t="str">
        <v>MARF028 Follow procedures to minimise and fight fires on board a vessel</v>
      </c>
      <c r="B37" s="6" t="str">
        <v>Knowledge Evidence</v>
      </c>
      <c r="C37" s="6" t="str">
        <v>K12</v>
      </c>
      <c r="D37" s="7" t="str">
        <v>On-board fire emergency response organisation and procedures</v>
      </c>
      <c r="E37" s="6" t="str">
        <v/>
      </c>
      <c r="F37" s="6" t="str">
        <f>SUMPRODUCT(--((G37:K37&lt;&gt;"")*( G37:K37&lt;&gt;0)))</f>
        <v/>
      </c>
      <c r="G37" s="6" t="str">
        <v/>
      </c>
      <c r="H37" s="6" t="str">
        <v/>
      </c>
      <c r="I37" s="6" t="str">
        <v/>
      </c>
      <c r="J37" s="6" t="str">
        <v/>
      </c>
      <c r="K37" s="6" t="str">
        <v/>
      </c>
    </row>
    <row r="38">
      <c r="A38" s="8" t="str">
        <v>MARF028 Follow procedures to minimise and fight fires on board a vessel</v>
      </c>
      <c r="B38" s="9" t="str">
        <v>Knowledge Evidence</v>
      </c>
      <c r="C38" s="9" t="str">
        <v>K13</v>
      </c>
      <c r="D38" s="10" t="str">
        <v>Portable fire extinguishers – colour codes and suitability for class of fire</v>
      </c>
      <c r="E38" s="9" t="str">
        <v/>
      </c>
      <c r="F38" s="9" t="str">
        <f>SUMPRODUCT(--((G38:K38&lt;&gt;"")*( G38:K38&lt;&gt;0)))</f>
        <v/>
      </c>
      <c r="G38" s="9" t="str">
        <v/>
      </c>
      <c r="H38" s="9" t="str">
        <v/>
      </c>
      <c r="I38" s="9" t="str">
        <v/>
      </c>
      <c r="J38" s="9" t="str">
        <v/>
      </c>
      <c r="K38" s="11" t="str">
        <v/>
      </c>
    </row>
    <row r="39">
      <c r="A39" s="6" t="str">
        <v>MARF028 Follow procedures to minimise and fight fires on board a vessel</v>
      </c>
      <c r="B39" s="6" t="str">
        <v>Knowledge Evidence</v>
      </c>
      <c r="C39" s="6" t="str">
        <v>K14</v>
      </c>
      <c r="D39" s="7" t="str">
        <v>Principles and methods of extinguishment of each class of fire</v>
      </c>
      <c r="E39" s="6" t="str">
        <v/>
      </c>
      <c r="F39" s="6" t="str">
        <f>SUMPRODUCT(--((G39:K39&lt;&gt;"")*( G39:K39&lt;&gt;0)))</f>
        <v/>
      </c>
      <c r="G39" s="6" t="str">
        <v/>
      </c>
      <c r="H39" s="6" t="str">
        <v/>
      </c>
      <c r="I39" s="6" t="str">
        <v/>
      </c>
      <c r="J39" s="6" t="str">
        <v/>
      </c>
      <c r="K39" s="6" t="str">
        <v/>
      </c>
    </row>
    <row r="40">
      <c r="A40" s="8" t="str">
        <v>MARF028 Follow procedures to minimise and fight fires on board a vessel</v>
      </c>
      <c r="B40" s="9" t="str">
        <v>Knowledge Evidence</v>
      </c>
      <c r="C40" s="9" t="str">
        <v>K15</v>
      </c>
      <c r="D40" s="10" t="str">
        <v>Principles underlying spread of fire on a vessel</v>
      </c>
      <c r="E40" s="9" t="str">
        <v/>
      </c>
      <c r="F40" s="9" t="str">
        <f>SUMPRODUCT(--((G40:K40&lt;&gt;"")*( G40:K40&lt;&gt;0)))</f>
        <v/>
      </c>
      <c r="G40" s="9" t="str">
        <v/>
      </c>
      <c r="H40" s="9" t="str">
        <v/>
      </c>
      <c r="I40" s="9" t="str">
        <v/>
      </c>
      <c r="J40" s="9" t="str">
        <v/>
      </c>
      <c r="K40" s="11" t="str">
        <v/>
      </c>
    </row>
    <row r="41" xml:space="preserve">
      <c r="A41" s="6" t="str">
        <v>MARF028 Follow procedures to minimise and fight fires on board a vessel</v>
      </c>
      <c r="B41" s="6" t="str">
        <v>Knowledge Evidence</v>
      </c>
      <c r="C41" s="6" t="str">
        <v>K16</v>
      </c>
      <c r="D41" s="7" t="str" xml:space="preserve">
        <v xml:space="preserve">Procedure for restoring equipment to operational condition includes:
-	cleaning
-	re-stowing</v>
      </c>
      <c r="E41" s="6" t="str">
        <v/>
      </c>
      <c r="F41" s="6" t="str">
        <f>SUMPRODUCT(--((G41:K41&lt;&gt;"")*( G41:K41&lt;&gt;0)))</f>
        <v/>
      </c>
      <c r="G41" s="6" t="str">
        <v/>
      </c>
      <c r="H41" s="6" t="str">
        <v/>
      </c>
      <c r="I41" s="6" t="str">
        <v/>
      </c>
      <c r="J41" s="6" t="str">
        <v/>
      </c>
      <c r="K41" s="6" t="str">
        <v/>
      </c>
    </row>
    <row r="42">
      <c r="A42" s="8" t="str">
        <v>MARF028 Follow procedures to minimise and fight fires on board a vessel</v>
      </c>
      <c r="B42" s="9" t="str">
        <v>Knowledge Evidence</v>
      </c>
      <c r="C42" s="9" t="str">
        <v>K17</v>
      </c>
      <c r="D42" s="10" t="str">
        <v>Types of fire detection, firefighting equipment and systems used on vessels, their features, principles of operation, procedures for their use and problems that can occur</v>
      </c>
      <c r="E42" s="9" t="str">
        <v/>
      </c>
      <c r="F42" s="9" t="str">
        <f>SUMPRODUCT(--((G42:K42&lt;&gt;"")*( G42:K42&lt;&gt;0)))</f>
        <v/>
      </c>
      <c r="G42" s="9" t="str">
        <v/>
      </c>
      <c r="H42" s="9" t="str">
        <v/>
      </c>
      <c r="I42" s="9" t="str">
        <v/>
      </c>
      <c r="J42" s="9" t="str">
        <v/>
      </c>
      <c r="K42" s="11" t="str">
        <v/>
      </c>
    </row>
    <row r="43">
      <c r="A43" s="6" t="str">
        <v>MARF028 Follow procedures to minimise and fight fires on board a vessel</v>
      </c>
      <c r="B43" s="6" t="str">
        <v>Knowledge Evidence</v>
      </c>
      <c r="C43" s="6" t="str">
        <v>K18</v>
      </c>
      <c r="D43" s="7" t="str">
        <v>Using a fire bucket</v>
      </c>
      <c r="E43" s="6" t="str">
        <v/>
      </c>
      <c r="F43" s="6" t="str">
        <f>SUMPRODUCT(--((G43:K43&lt;&gt;"")*( G43:K43&lt;&gt;0)))</f>
        <v/>
      </c>
      <c r="G43" s="6" t="str">
        <v/>
      </c>
      <c r="H43" s="6" t="str">
        <v/>
      </c>
      <c r="I43" s="6" t="str">
        <v/>
      </c>
      <c r="J43" s="6" t="str">
        <v/>
      </c>
      <c r="K43" s="6" t="str">
        <v/>
      </c>
    </row>
    <row r="44">
      <c r="A44" s="8" t="str">
        <v>MARF028 Follow procedures to minimise and fight fires on board a vessel</v>
      </c>
      <c r="B44" s="9" t="str">
        <v>Knowledge Evidence</v>
      </c>
      <c r="C44" s="9" t="str">
        <v>K19</v>
      </c>
      <c r="D44" s="10" t="str">
        <v>Ventilation procedures</v>
      </c>
      <c r="E44" s="9" t="str">
        <v/>
      </c>
      <c r="F44" s="9" t="str">
        <f>SUMPRODUCT(--((G44:K44&lt;&gt;"")*( G44:K44&lt;&gt;0)))</f>
        <v/>
      </c>
      <c r="G44" s="9" t="str">
        <v/>
      </c>
      <c r="H44" s="9" t="str">
        <v/>
      </c>
      <c r="I44" s="9" t="str">
        <v/>
      </c>
      <c r="J44" s="9" t="str">
        <v/>
      </c>
      <c r="K44" s="11" t="str">
        <v/>
      </c>
    </row>
    <row r="45">
      <c r="A45" s="6" t="str">
        <v>MARF028 Follow procedures to minimise and fight fires on board a vessel</v>
      </c>
      <c r="B45" s="6" t="str">
        <v>Knowledge Evidence</v>
      </c>
      <c r="C45" s="6" t="str">
        <v>K20</v>
      </c>
      <c r="D45" s="7" t="str">
        <v>Vessel construction as it relates to fire prevention or protection</v>
      </c>
      <c r="E45" s="6" t="str">
        <v/>
      </c>
      <c r="F45" s="6" t="str">
        <f>SUMPRODUCT(--((G45:K45&lt;&gt;"")*( G45:K45&lt;&gt;0)))</f>
        <v/>
      </c>
      <c r="G45" s="6" t="str">
        <v/>
      </c>
      <c r="H45" s="6" t="str">
        <v/>
      </c>
      <c r="I45" s="6" t="str">
        <v/>
      </c>
      <c r="J45" s="6" t="str">
        <v/>
      </c>
      <c r="K45" s="6" t="str">
        <v/>
      </c>
    </row>
    <row r="46">
      <c r="A46" s="8" t="str">
        <v>MARF028 Follow procedures to minimise and fight fires on board a vessel</v>
      </c>
      <c r="B46" s="9" t="str">
        <v>Knowledge Evidence</v>
      </c>
      <c r="C46" s="9" t="str">
        <v>K21</v>
      </c>
      <c r="D46" s="10" t="str">
        <v>WHS/OHS requirements and safe work practices.</v>
      </c>
      <c r="E46" s="9" t="str">
        <v/>
      </c>
      <c r="F46" s="9" t="str">
        <f>SUMPRODUCT(--((G46:K46&lt;&gt;"")*( G46:K46&lt;&gt;0)))</f>
        <v/>
      </c>
      <c r="G46" s="9" t="str">
        <v/>
      </c>
      <c r="H46" s="9" t="str">
        <v/>
      </c>
      <c r="I46" s="9" t="str">
        <v/>
      </c>
      <c r="J46" s="9" t="str">
        <v/>
      </c>
      <c r="K46" s="11" t="str">
        <v/>
      </c>
    </row>
    <row r="47">
      <c r="A47" s="6" t="str">
        <v>MARF028 Follow procedures to minimise and fight fires on board a vessel</v>
      </c>
      <c r="B47" s="6" t="str">
        <v>Knowledge Evidence</v>
      </c>
      <c r="C47" s="6" t="str">
        <v>K22</v>
      </c>
      <c r="D47" s="7" t="str">
        <v>A – Carbonaceous solids</v>
      </c>
      <c r="E47" s="6" t="str">
        <v/>
      </c>
      <c r="F47" s="6" t="str">
        <f>SUMPRODUCT(--((G47:K47&lt;&gt;"")*( G47:K47&lt;&gt;0)))</f>
        <v/>
      </c>
      <c r="G47" s="6" t="str">
        <v/>
      </c>
      <c r="H47" s="6" t="str">
        <v/>
      </c>
      <c r="I47" s="6" t="str">
        <v/>
      </c>
      <c r="J47" s="6" t="str">
        <v/>
      </c>
      <c r="K47" s="6" t="str">
        <v/>
      </c>
    </row>
    <row r="48">
      <c r="A48" s="8" t="str">
        <v>MARF028 Follow procedures to minimise and fight fires on board a vessel</v>
      </c>
      <c r="B48" s="9" t="str">
        <v>Knowledge Evidence</v>
      </c>
      <c r="C48" s="9" t="str">
        <v>K23</v>
      </c>
      <c r="D48" s="10" t="str">
        <v>B – Flammable liquids</v>
      </c>
      <c r="E48" s="9" t="str">
        <v/>
      </c>
      <c r="F48" s="9" t="str">
        <f>SUMPRODUCT(--((G48:K48&lt;&gt;"")*( G48:K48&lt;&gt;0)))</f>
        <v/>
      </c>
      <c r="G48" s="9" t="str">
        <v/>
      </c>
      <c r="H48" s="9" t="str">
        <v/>
      </c>
      <c r="I48" s="9" t="str">
        <v/>
      </c>
      <c r="J48" s="9" t="str">
        <v/>
      </c>
      <c r="K48" s="11" t="str">
        <v/>
      </c>
    </row>
    <row r="49">
      <c r="A49" s="6" t="str">
        <v>MARF028 Follow procedures to minimise and fight fires on board a vessel</v>
      </c>
      <c r="B49" s="6" t="str">
        <v>Knowledge Evidence</v>
      </c>
      <c r="C49" s="6" t="str">
        <v>K24</v>
      </c>
      <c r="D49" s="7" t="str">
        <v>C – Flammable gases</v>
      </c>
      <c r="E49" s="6" t="str">
        <v/>
      </c>
      <c r="F49" s="6" t="str">
        <f>SUMPRODUCT(--((G49:K49&lt;&gt;"")*( G49:K49&lt;&gt;0)))</f>
        <v/>
      </c>
      <c r="G49" s="6" t="str">
        <v/>
      </c>
      <c r="H49" s="6" t="str">
        <v/>
      </c>
      <c r="I49" s="6" t="str">
        <v/>
      </c>
      <c r="J49" s="6" t="str">
        <v/>
      </c>
      <c r="K49" s="6" t="str">
        <v/>
      </c>
    </row>
    <row r="50">
      <c r="A50" s="8" t="str">
        <v>MARF028 Follow procedures to minimise and fight fires on board a vessel</v>
      </c>
      <c r="B50" s="9" t="str">
        <v>Knowledge Evidence</v>
      </c>
      <c r="C50" s="9" t="str">
        <v>K25</v>
      </c>
      <c r="D50" s="10" t="str">
        <v>E – Electrically energised equipment</v>
      </c>
      <c r="E50" s="9" t="str">
        <v/>
      </c>
      <c r="F50" s="9" t="str">
        <f>SUMPRODUCT(--((G50:K50&lt;&gt;"")*( G50:K50&lt;&gt;0)))</f>
        <v/>
      </c>
      <c r="G50" s="9" t="str">
        <v/>
      </c>
      <c r="H50" s="9" t="str">
        <v/>
      </c>
      <c r="I50" s="9" t="str">
        <v/>
      </c>
      <c r="J50" s="9" t="str">
        <v/>
      </c>
      <c r="K50" s="11" t="str">
        <v/>
      </c>
    </row>
    <row r="51">
      <c r="A51" s="6" t="str">
        <v>MARF028 Follow procedures to minimise and fight fires on board a vessel</v>
      </c>
      <c r="B51" s="6" t="str">
        <v>Knowledge Evidence</v>
      </c>
      <c r="C51" s="6" t="str">
        <v>K26</v>
      </c>
      <c r="D51" s="7" t="str">
        <v>F – Cooking fats or oils</v>
      </c>
      <c r="E51" s="6" t="str">
        <v/>
      </c>
      <c r="F51" s="6" t="str">
        <f>SUMPRODUCT(--((G51:K51&lt;&gt;"")*( G51:K51&lt;&gt;0)))</f>
        <v/>
      </c>
      <c r="G51" s="6" t="str">
        <v/>
      </c>
      <c r="H51" s="6" t="str">
        <v/>
      </c>
      <c r="I51" s="6" t="str">
        <v/>
      </c>
      <c r="J51" s="6" t="str">
        <v/>
      </c>
      <c r="K51" s="6" t="str">
        <v/>
      </c>
    </row>
    <row r="52">
      <c r="A52" s="8" t="str">
        <v>MARF028 Follow procedures to minimise and fight fires on board a vessel</v>
      </c>
      <c r="B52" s="9" t="str">
        <v>Knowledge Evidence</v>
      </c>
      <c r="C52" s="9" t="str">
        <v>K27</v>
      </c>
      <c r="D52" s="10" t="str">
        <v>Extinguishing powders</v>
      </c>
      <c r="E52" s="9" t="str">
        <v/>
      </c>
      <c r="F52" s="9" t="str">
        <f>SUMPRODUCT(--((G52:K52&lt;&gt;"")*( G52:K52&lt;&gt;0)))</f>
        <v/>
      </c>
      <c r="G52" s="9" t="str">
        <v/>
      </c>
      <c r="H52" s="9" t="str">
        <v/>
      </c>
      <c r="I52" s="9" t="str">
        <v/>
      </c>
      <c r="J52" s="9" t="str">
        <v/>
      </c>
      <c r="K52" s="11" t="str">
        <v/>
      </c>
    </row>
    <row r="53">
      <c r="A53" s="6" t="str">
        <v>MARF028 Follow procedures to minimise and fight fires on board a vessel</v>
      </c>
      <c r="B53" s="6" t="str">
        <v>Knowledge Evidence</v>
      </c>
      <c r="C53" s="6" t="str">
        <v>K28</v>
      </c>
      <c r="D53" s="7" t="str">
        <v>Firefighting foams</v>
      </c>
      <c r="E53" s="6" t="str">
        <v/>
      </c>
      <c r="F53" s="6" t="str">
        <f>SUMPRODUCT(--((G53:K53&lt;&gt;"")*( G53:K53&lt;&gt;0)))</f>
        <v/>
      </c>
      <c r="G53" s="6" t="str">
        <v/>
      </c>
      <c r="H53" s="6" t="str">
        <v/>
      </c>
      <c r="I53" s="6" t="str">
        <v/>
      </c>
      <c r="J53" s="6" t="str">
        <v/>
      </c>
      <c r="K53" s="6" t="str">
        <v/>
      </c>
    </row>
    <row r="54">
      <c r="A54" s="8" t="str">
        <v>MARF028 Follow procedures to minimise and fight fires on board a vessel</v>
      </c>
      <c r="B54" s="9" t="str">
        <v>Knowledge Evidence</v>
      </c>
      <c r="C54" s="9" t="str">
        <v>K29</v>
      </c>
      <c r="D54" s="10" t="str">
        <v>Gaseous extinguishing agents</v>
      </c>
      <c r="E54" s="9" t="str">
        <v/>
      </c>
      <c r="F54" s="9" t="str">
        <f>SUMPRODUCT(--((G54:K54&lt;&gt;"")*( G54:K54&lt;&gt;0)))</f>
        <v/>
      </c>
      <c r="G54" s="9" t="str">
        <v/>
      </c>
      <c r="H54" s="9" t="str">
        <v/>
      </c>
      <c r="I54" s="9" t="str">
        <v/>
      </c>
      <c r="J54" s="9" t="str">
        <v/>
      </c>
      <c r="K54" s="11" t="str">
        <v/>
      </c>
    </row>
    <row r="55">
      <c r="A55" s="6" t="str">
        <v>MARF028 Follow procedures to minimise and fight fires on board a vessel</v>
      </c>
      <c r="B55" s="6" t="str">
        <v>Knowledge Evidence</v>
      </c>
      <c r="C55" s="6" t="str">
        <v>K30</v>
      </c>
      <c r="D55" s="7" t="str">
        <v>Water</v>
      </c>
      <c r="E55" s="6" t="str">
        <v/>
      </c>
      <c r="F55" s="6" t="str">
        <f>SUMPRODUCT(--((G55:K55&lt;&gt;"")*( G55:K55&lt;&gt;0)))</f>
        <v/>
      </c>
      <c r="G55" s="6" t="str">
        <v/>
      </c>
      <c r="H55" s="6" t="str">
        <v/>
      </c>
      <c r="I55" s="6" t="str">
        <v/>
      </c>
      <c r="J55" s="6" t="str">
        <v/>
      </c>
      <c r="K55" s="6" t="str">
        <v/>
      </c>
    </row>
    <row r="56">
      <c r="A56" s="8" t="str">
        <v>MARF028 Follow procedures to minimise and fight fires on board a vessel</v>
      </c>
      <c r="B56" s="9" t="str">
        <v>Knowledge Evidence</v>
      </c>
      <c r="C56" s="9" t="str">
        <v>K31</v>
      </c>
      <c r="D56" s="10" t="str">
        <v>Cargo</v>
      </c>
      <c r="E56" s="9" t="str">
        <v/>
      </c>
      <c r="F56" s="9" t="str">
        <f>SUMPRODUCT(--((G56:K56&lt;&gt;"")*( G56:K56&lt;&gt;0)))</f>
        <v/>
      </c>
      <c r="G56" s="9" t="str">
        <v/>
      </c>
      <c r="H56" s="9" t="str">
        <v/>
      </c>
      <c r="I56" s="9" t="str">
        <v/>
      </c>
      <c r="J56" s="9" t="str">
        <v/>
      </c>
      <c r="K56" s="11" t="str">
        <v/>
      </c>
    </row>
    <row r="57">
      <c r="A57" s="6" t="str">
        <v>MARF028 Follow procedures to minimise and fight fires on board a vessel</v>
      </c>
      <c r="B57" s="6" t="str">
        <v>Knowledge Evidence</v>
      </c>
      <c r="C57" s="6" t="str">
        <v>K32</v>
      </c>
      <c r="D57" s="7" t="str">
        <v>Clothing</v>
      </c>
      <c r="E57" s="6" t="str">
        <v/>
      </c>
      <c r="F57" s="6" t="str">
        <f>SUMPRODUCT(--((G57:K57&lt;&gt;"")*( G57:K57&lt;&gt;0)))</f>
        <v/>
      </c>
      <c r="G57" s="6" t="str">
        <v/>
      </c>
      <c r="H57" s="6" t="str">
        <v/>
      </c>
      <c r="I57" s="6" t="str">
        <v/>
      </c>
      <c r="J57" s="6" t="str">
        <v/>
      </c>
      <c r="K57" s="6" t="str">
        <v/>
      </c>
    </row>
    <row r="58">
      <c r="A58" s="8" t="str">
        <v>MARF028 Follow procedures to minimise and fight fires on board a vessel</v>
      </c>
      <c r="B58" s="9" t="str">
        <v>Knowledge Evidence</v>
      </c>
      <c r="C58" s="9" t="str">
        <v>K33</v>
      </c>
      <c r="D58" s="10" t="str">
        <v>Cooking oils</v>
      </c>
      <c r="E58" s="9" t="str">
        <v/>
      </c>
      <c r="F58" s="9" t="str">
        <f>SUMPRODUCT(--((G58:K58&lt;&gt;"")*( G58:K58&lt;&gt;0)))</f>
        <v/>
      </c>
      <c r="G58" s="9" t="str">
        <v/>
      </c>
      <c r="H58" s="9" t="str">
        <v/>
      </c>
      <c r="I58" s="9" t="str">
        <v/>
      </c>
      <c r="J58" s="9" t="str">
        <v/>
      </c>
      <c r="K58" s="11" t="str">
        <v/>
      </c>
    </row>
    <row r="59">
      <c r="A59" s="6" t="str">
        <v>MARF028 Follow procedures to minimise and fight fires on board a vessel</v>
      </c>
      <c r="B59" s="6" t="str">
        <v>Knowledge Evidence</v>
      </c>
      <c r="C59" s="6" t="str">
        <v>K34</v>
      </c>
      <c r="D59" s="7" t="str">
        <v>Cordage</v>
      </c>
      <c r="E59" s="6" t="str">
        <v/>
      </c>
      <c r="F59" s="6" t="str">
        <f>SUMPRODUCT(--((G59:K59&lt;&gt;"")*( G59:K59&lt;&gt;0)))</f>
        <v/>
      </c>
      <c r="G59" s="6" t="str">
        <v/>
      </c>
      <c r="H59" s="6" t="str">
        <v/>
      </c>
      <c r="I59" s="6" t="str">
        <v/>
      </c>
      <c r="J59" s="6" t="str">
        <v/>
      </c>
      <c r="K59" s="6" t="str">
        <v/>
      </c>
    </row>
    <row r="60">
      <c r="A60" s="8" t="str">
        <v>MARF028 Follow procedures to minimise and fight fires on board a vessel</v>
      </c>
      <c r="B60" s="9" t="str">
        <v>Knowledge Evidence</v>
      </c>
      <c r="C60" s="9" t="str">
        <v>K35</v>
      </c>
      <c r="D60" s="10" t="str">
        <v>Electrical arcing</v>
      </c>
      <c r="E60" s="9" t="str">
        <v/>
      </c>
      <c r="F60" s="9" t="str">
        <f>SUMPRODUCT(--((G60:K60&lt;&gt;"")*( G60:K60&lt;&gt;0)))</f>
        <v/>
      </c>
      <c r="G60" s="9" t="str">
        <v/>
      </c>
      <c r="H60" s="9" t="str">
        <v/>
      </c>
      <c r="I60" s="9" t="str">
        <v/>
      </c>
      <c r="J60" s="9" t="str">
        <v/>
      </c>
      <c r="K60" s="11" t="str">
        <v/>
      </c>
    </row>
    <row r="61">
      <c r="A61" s="6" t="str">
        <v>MARF028 Follow procedures to minimise and fight fires on board a vessel</v>
      </c>
      <c r="B61" s="6" t="str">
        <v>Knowledge Evidence</v>
      </c>
      <c r="C61" s="6" t="str">
        <v>K36</v>
      </c>
      <c r="D61" s="7" t="str">
        <v>Fuels and lubricants</v>
      </c>
      <c r="E61" s="6" t="str">
        <v/>
      </c>
      <c r="F61" s="6" t="str">
        <f>SUMPRODUCT(--((G61:K61&lt;&gt;"")*( G61:K61&lt;&gt;0)))</f>
        <v/>
      </c>
      <c r="G61" s="6" t="str">
        <v/>
      </c>
      <c r="H61" s="6" t="str">
        <v/>
      </c>
      <c r="I61" s="6" t="str">
        <v/>
      </c>
      <c r="J61" s="6" t="str">
        <v/>
      </c>
      <c r="K61" s="6" t="str">
        <v/>
      </c>
    </row>
    <row r="62">
      <c r="A62" s="8" t="str">
        <v>MARF028 Follow procedures to minimise and fight fires on board a vessel</v>
      </c>
      <c r="B62" s="9" t="str">
        <v>Knowledge Evidence</v>
      </c>
      <c r="C62" s="9" t="str">
        <v>K37</v>
      </c>
      <c r="D62" s="10" t="str">
        <v>Furnishings</v>
      </c>
      <c r="E62" s="9" t="str">
        <v/>
      </c>
      <c r="F62" s="9" t="str">
        <f>SUMPRODUCT(--((G62:K62&lt;&gt;"")*( G62:K62&lt;&gt;0)))</f>
        <v/>
      </c>
      <c r="G62" s="9" t="str">
        <v/>
      </c>
      <c r="H62" s="9" t="str">
        <v/>
      </c>
      <c r="I62" s="9" t="str">
        <v/>
      </c>
      <c r="J62" s="9" t="str">
        <v/>
      </c>
      <c r="K62" s="11" t="str">
        <v/>
      </c>
    </row>
    <row r="63">
      <c r="A63" s="6" t="str">
        <v>MARF028 Follow procedures to minimise and fight fires on board a vessel</v>
      </c>
      <c r="B63" s="6" t="str">
        <v>Knowledge Evidence</v>
      </c>
      <c r="C63" s="6" t="str">
        <v>K38</v>
      </c>
      <c r="D63" s="7" t="str">
        <v>Paints</v>
      </c>
      <c r="E63" s="6" t="str">
        <v/>
      </c>
      <c r="F63" s="6" t="str">
        <f>SUMPRODUCT(--((G63:K63&lt;&gt;"")*( G63:K63&lt;&gt;0)))</f>
        <v/>
      </c>
      <c r="G63" s="6" t="str">
        <v/>
      </c>
      <c r="H63" s="6" t="str">
        <v/>
      </c>
      <c r="I63" s="6" t="str">
        <v/>
      </c>
      <c r="J63" s="6" t="str">
        <v/>
      </c>
      <c r="K63" s="6" t="str">
        <v/>
      </c>
    </row>
    <row r="64">
      <c r="A64" s="8" t="str">
        <v>MARF028 Follow procedures to minimise and fight fires on board a vessel</v>
      </c>
      <c r="B64" s="9" t="str">
        <v>Knowledge Evidence</v>
      </c>
      <c r="C64" s="9" t="str">
        <v>K39</v>
      </c>
      <c r="D64" s="10" t="str">
        <v>Poor housekeeping</v>
      </c>
      <c r="E64" s="9" t="str">
        <v/>
      </c>
      <c r="F64" s="9" t="str">
        <f>SUMPRODUCT(--((G64:K64&lt;&gt;"")*( G64:K64&lt;&gt;0)))</f>
        <v/>
      </c>
      <c r="G64" s="9" t="str">
        <v/>
      </c>
      <c r="H64" s="9" t="str">
        <v/>
      </c>
      <c r="I64" s="9" t="str">
        <v/>
      </c>
      <c r="J64" s="9" t="str">
        <v/>
      </c>
      <c r="K64" s="11" t="str">
        <v/>
      </c>
    </row>
    <row r="65">
      <c r="A65" s="6" t="str">
        <v>MARF028 Follow procedures to minimise and fight fires on board a vessel</v>
      </c>
      <c r="B65" s="6" t="str">
        <v>Knowledge Evidence</v>
      </c>
      <c r="C65" s="6" t="str">
        <v>K40</v>
      </c>
      <c r="D65" s="7" t="str">
        <v>Poor work practices</v>
      </c>
      <c r="E65" s="6" t="str">
        <v/>
      </c>
      <c r="F65" s="6" t="str">
        <f>SUMPRODUCT(--((G65:K65&lt;&gt;"")*( G65:K65&lt;&gt;0)))</f>
        <v/>
      </c>
      <c r="G65" s="6" t="str">
        <v/>
      </c>
      <c r="H65" s="6" t="str">
        <v/>
      </c>
      <c r="I65" s="6" t="str">
        <v/>
      </c>
      <c r="J65" s="6" t="str">
        <v/>
      </c>
      <c r="K65" s="6" t="str">
        <v/>
      </c>
    </row>
    <row r="66">
      <c r="A66" s="8" t="str">
        <v>MARF028 Follow procedures to minimise and fight fires on board a vessel</v>
      </c>
      <c r="B66" s="9" t="str">
        <v>Knowledge Evidence</v>
      </c>
      <c r="C66" s="9" t="str">
        <v>K41</v>
      </c>
      <c r="D66" s="10" t="str">
        <v>Smoking</v>
      </c>
      <c r="E66" s="9" t="str">
        <v/>
      </c>
      <c r="F66" s="9" t="str">
        <f>SUMPRODUCT(--((G66:K66&lt;&gt;"")*( G66:K66&lt;&gt;0)))</f>
        <v/>
      </c>
      <c r="G66" s="9" t="str">
        <v/>
      </c>
      <c r="H66" s="9" t="str">
        <v/>
      </c>
      <c r="I66" s="9" t="str">
        <v/>
      </c>
      <c r="J66" s="9" t="str">
        <v/>
      </c>
      <c r="K66" s="11" t="str">
        <v/>
      </c>
    </row>
    <row r="67">
      <c r="A67" s="6" t="str">
        <v>MARF028 Follow procedures to minimise and fight fires on board a vessel</v>
      </c>
      <c r="B67" s="6" t="str">
        <v>Knowledge Evidence</v>
      </c>
      <c r="C67" s="6" t="str">
        <v>K42</v>
      </c>
      <c r="D67" s="7" t="str">
        <v>Spontaneous combustion</v>
      </c>
      <c r="E67" s="6" t="str">
        <v/>
      </c>
      <c r="F67" s="6" t="str">
        <f>SUMPRODUCT(--((G67:K67&lt;&gt;"")*( G67:K67&lt;&gt;0)))</f>
        <v/>
      </c>
      <c r="G67" s="6" t="str">
        <v/>
      </c>
      <c r="H67" s="6" t="str">
        <v/>
      </c>
      <c r="I67" s="6" t="str">
        <v/>
      </c>
      <c r="J67" s="6" t="str">
        <v/>
      </c>
      <c r="K67" s="6" t="str">
        <v/>
      </c>
    </row>
    <row r="68">
      <c r="A68" s="8" t="str">
        <v>MARF028 Follow procedures to minimise and fight fires on board a vessel</v>
      </c>
      <c r="B68" s="9" t="str">
        <v>Knowledge Evidence</v>
      </c>
      <c r="C68" s="9" t="str">
        <v>K43</v>
      </c>
      <c r="D68" s="10" t="str">
        <v>Cleaning</v>
      </c>
      <c r="E68" s="9" t="str">
        <v/>
      </c>
      <c r="F68" s="9" t="str">
        <f>SUMPRODUCT(--((G68:K68&lt;&gt;"")*( G68:K68&lt;&gt;0)))</f>
        <v/>
      </c>
      <c r="G68" s="9" t="str">
        <v/>
      </c>
      <c r="H68" s="9" t="str">
        <v/>
      </c>
      <c r="I68" s="9" t="str">
        <v/>
      </c>
      <c r="J68" s="9" t="str">
        <v/>
      </c>
      <c r="K68" s="11" t="str">
        <v/>
      </c>
    </row>
    <row r="69">
      <c r="A69" s="6" t="str">
        <v>MARF028 Follow procedures to minimise and fight fires on board a vessel</v>
      </c>
      <c r="B69" s="6" t="str">
        <v>Knowledge Evidence</v>
      </c>
      <c r="C69" s="6" t="str">
        <v>K44</v>
      </c>
      <c r="D69" s="7" t="str">
        <v>Re-stowing</v>
      </c>
      <c r="E69" s="6" t="str">
        <v/>
      </c>
      <c r="F69" s="6" t="str">
        <f>SUMPRODUCT(--((G69:K69&lt;&gt;"")*( G69:K69&lt;&gt;0)))</f>
        <v/>
      </c>
      <c r="G69" s="6" t="str">
        <v/>
      </c>
      <c r="H69" s="6" t="str">
        <v/>
      </c>
      <c r="I69" s="6" t="str">
        <v/>
      </c>
      <c r="J69" s="6" t="str">
        <v/>
      </c>
      <c r="K69" s="6" t="str">
        <v/>
      </c>
    </row>
  </sheetData>
  <autoFilter ref="A2:K69"/>
  <mergeCells count="8">
    <mergeCell ref="A1:A2"/>
    <mergeCell ref="B1:B2"/>
    <mergeCell ref="C1:C2"/>
    <mergeCell ref="D1:D2"/>
    <mergeCell ref="E1:E2"/>
    <mergeCell ref="F1:F2"/>
    <mergeCell ref="G1:H1"/>
    <mergeCell ref="I1:K1"/>
  </mergeCells>
  <ignoredErrors>
    <ignoredError numberStoredAsText="1" sqref="A1:K69"/>
  </ignoredErrors>
</worksheet>
</file>

<file path=xl/worksheets/sheet2.xml><?xml version="1.0" encoding="utf-8"?>
<worksheet xmlns="http://schemas.openxmlformats.org/spreadsheetml/2006/main" xmlns:r="http://schemas.openxmlformats.org/officeDocument/2006/relationships">
  <dimension ref="A1:M212"/>
  <sheetViews>
    <sheetView workbookViewId="0"/>
  </sheetViews>
  <cols>
    <col min="1" max="1" width="63.83203125" customWidth="1"/>
    <col min="2" max="2" width="60.83203125" customWidth="1"/>
    <col min="3" max="3" width="14.83203125" customWidth="1"/>
    <col min="4" max="4" width="100.83203125" customWidth="1"/>
    <col min="5" max="5" width="18.83203125" customWidth="1"/>
    <col min="6" max="6" width="10.83203125" customWidth="1"/>
    <col min="7" max="7" width="21.83203125" customWidth="1"/>
    <col min="8" max="8" width="20.83203125" customWidth="1"/>
    <col min="9" max="9" width="21.83203125" customWidth="1"/>
    <col min="10" max="10" width="23.83203125" customWidth="1"/>
    <col min="11" max="11" width="21.83203125" customWidth="1"/>
    <col min="12" max="12" width="20.83203125" customWidth="1"/>
    <col min="13" max="13"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3" t="str">
        <v/>
      </c>
      <c r="J1" s="3" t="str">
        <v/>
      </c>
      <c r="K1" s="5" t="str">
        <v>Performance Assessment/s</v>
      </c>
      <c r="L1" s="3" t="str">
        <v/>
      </c>
      <c r="M1" s="3" t="str">
        <v/>
      </c>
    </row>
    <row r="2">
      <c r="A2" s="3" t="str">
        <v>Unit</v>
      </c>
      <c r="B2" s="3" t="str">
        <v>Element</v>
      </c>
      <c r="C2" s="3" t="str">
        <v>Criteria/Evidence</v>
      </c>
      <c r="D2" s="3" t="str">
        <v>Performance Criteria</v>
      </c>
      <c r="E2" s="3" t="str">
        <v>AMPA Conditions</v>
      </c>
      <c r="F2" s="3" t="str">
        <v>Mapping Count</v>
      </c>
      <c r="G2" s="3" t="str">
        <v xml:space="preserve">Knowledge Coxswain Deck </v>
      </c>
      <c r="H2" s="3" t="str">
        <v xml:space="preserve">Seamanship Knowledge </v>
      </c>
      <c r="I2" s="3" t="str">
        <v>Watchkeeping (Open book)</v>
      </c>
      <c r="J2" s="3" t="str">
        <v>Watchkeeping (Closed book)</v>
      </c>
      <c r="K2" s="3" t="str">
        <v>Vessel</v>
      </c>
      <c r="L2" s="3" t="str">
        <v>Classroom</v>
      </c>
      <c r="M2" s="3" t="str">
        <v>Readiness for assessment</v>
      </c>
    </row>
    <row r="3">
      <c r="A3" s="6" t="str">
        <v>MARC038 Operate main propulsion unit and auxiliary systems</v>
      </c>
      <c r="B3" s="6" t="str">
        <v>1. Prepare propulsion unit and auxiliary system for use</v>
      </c>
      <c r="C3" s="6" t="str">
        <v>1.1</v>
      </c>
      <c r="D3" s="7" t="str">
        <v>Appropriate personal protective clothing and equipment is selected, used, maintained and stored according to work health and safety (WHS)/occupational health and safety (OHS) requirements</v>
      </c>
      <c r="E3" s="6" t="str">
        <v/>
      </c>
      <c r="F3" s="6" t="str">
        <f>SUMPRODUCT(--((G3:M3&lt;&gt;"")*( G3:M3&lt;&gt;0)))</f>
        <v/>
      </c>
      <c r="G3" s="6" t="str">
        <v/>
      </c>
      <c r="H3" s="6" t="str">
        <v/>
      </c>
      <c r="I3" s="6" t="str">
        <v/>
      </c>
      <c r="J3" s="6" t="str">
        <v/>
      </c>
      <c r="K3" s="6" t="str">
        <v/>
      </c>
      <c r="L3" s="6" t="str">
        <v/>
      </c>
      <c r="M3" s="6" t="str">
        <v/>
      </c>
    </row>
    <row r="4">
      <c r="A4" s="8" t="str">
        <v>MARC038 Operate main propulsion unit and auxiliary systems</v>
      </c>
      <c r="B4" s="9" t="str">
        <v>1. Prepare propulsion unit and auxiliary system for use</v>
      </c>
      <c r="C4" s="9" t="str">
        <v>1.2</v>
      </c>
      <c r="D4" s="10" t="str">
        <v>Routine pre-operational checks are carried out on equipment according to manufacturer specifications and workplace requirements</v>
      </c>
      <c r="E4" s="9" t="str">
        <v/>
      </c>
      <c r="F4" s="9" t="str">
        <f>SUMPRODUCT(--((G4:M4&lt;&gt;"")*( G4:M4&lt;&gt;0)))</f>
        <v/>
      </c>
      <c r="G4" s="9" t="str">
        <v/>
      </c>
      <c r="H4" s="9" t="str">
        <v/>
      </c>
      <c r="I4" s="9" t="str">
        <v/>
      </c>
      <c r="J4" s="9" t="str">
        <v/>
      </c>
      <c r="K4" s="9" t="str">
        <v/>
      </c>
      <c r="L4" s="9" t="str">
        <v/>
      </c>
      <c r="M4" s="11" t="str">
        <v/>
      </c>
    </row>
    <row r="5">
      <c r="A5" s="6" t="str">
        <v>MARC038 Operate main propulsion unit and auxiliary systems</v>
      </c>
      <c r="B5" s="6" t="str">
        <v>1. Prepare propulsion unit and auxiliary system for use</v>
      </c>
      <c r="C5" s="6" t="str">
        <v>1.3</v>
      </c>
      <c r="D5" s="7" t="str">
        <v>Deviations from the norm are promptly identified and rectified</v>
      </c>
      <c r="E5" s="6" t="str">
        <v/>
      </c>
      <c r="F5" s="6" t="str">
        <f>SUMPRODUCT(--((G5:M5&lt;&gt;"")*( G5:M5&lt;&gt;0)))</f>
        <v/>
      </c>
      <c r="G5" s="6" t="str">
        <v/>
      </c>
      <c r="H5" s="6" t="str">
        <v/>
      </c>
      <c r="I5" s="6" t="str">
        <v/>
      </c>
      <c r="J5" s="6" t="str">
        <v/>
      </c>
      <c r="K5" s="6" t="str">
        <v/>
      </c>
      <c r="L5" s="6" t="str">
        <v/>
      </c>
      <c r="M5" s="6" t="str">
        <v/>
      </c>
    </row>
    <row r="6">
      <c r="A6" s="8" t="str">
        <v>MARC038 Operate main propulsion unit and auxiliary systems</v>
      </c>
      <c r="B6" s="9" t="str">
        <v>1. Prepare propulsion unit and auxiliary system for use</v>
      </c>
      <c r="C6" s="9" t="str">
        <v>1.4</v>
      </c>
      <c r="D6" s="10" t="str">
        <v>Adjustments are made to achieve a safe and efficient operation</v>
      </c>
      <c r="E6" s="9" t="str">
        <v/>
      </c>
      <c r="F6" s="9" t="str">
        <f>SUMPRODUCT(--((G6:M6&lt;&gt;"")*( G6:M6&lt;&gt;0)))</f>
        <v/>
      </c>
      <c r="G6" s="9" t="str">
        <v/>
      </c>
      <c r="H6" s="9" t="str">
        <v/>
      </c>
      <c r="I6" s="9" t="str">
        <v/>
      </c>
      <c r="J6" s="9" t="str">
        <v/>
      </c>
      <c r="K6" s="9" t="str">
        <v/>
      </c>
      <c r="L6" s="9" t="str">
        <v/>
      </c>
      <c r="M6" s="11" t="str">
        <v/>
      </c>
    </row>
    <row r="7">
      <c r="A7" s="6" t="str">
        <v>MARC038 Operate main propulsion unit and auxiliary systems</v>
      </c>
      <c r="B7" s="6" t="str">
        <v>1. Prepare propulsion unit and auxiliary system for use</v>
      </c>
      <c r="C7" s="6" t="str">
        <v>1.5</v>
      </c>
      <c r="D7" s="7" t="str">
        <v>Inability to start up equipment is reported promptly and accurately to appropriate personnel</v>
      </c>
      <c r="E7" s="6" t="str">
        <v/>
      </c>
      <c r="F7" s="6" t="str">
        <f>SUMPRODUCT(--((G7:M7&lt;&gt;"")*( G7:M7&lt;&gt;0)))</f>
        <v/>
      </c>
      <c r="G7" s="6" t="str">
        <v/>
      </c>
      <c r="H7" s="6" t="str">
        <v/>
      </c>
      <c r="I7" s="6" t="str">
        <v/>
      </c>
      <c r="J7" s="6" t="str">
        <v/>
      </c>
      <c r="K7" s="6" t="str">
        <v/>
      </c>
      <c r="L7" s="6" t="str">
        <v/>
      </c>
      <c r="M7" s="6" t="str">
        <v/>
      </c>
    </row>
    <row r="8">
      <c r="A8" s="8" t="str">
        <v>MARC038 Operate main propulsion unit and auxiliary systems</v>
      </c>
      <c r="B8" s="9" t="str">
        <v>2. Operate propulsion unit and auxiliary system</v>
      </c>
      <c r="C8" s="9" t="str">
        <v>2.1</v>
      </c>
      <c r="D8" s="10" t="str">
        <v>Equipment is operated in a safe and controlled manner</v>
      </c>
      <c r="E8" s="9" t="str">
        <v/>
      </c>
      <c r="F8" s="9" t="str">
        <f>SUMPRODUCT(--((G8:M8&lt;&gt;"")*( G8:M8&lt;&gt;0)))</f>
        <v/>
      </c>
      <c r="G8" s="9" t="str">
        <v/>
      </c>
      <c r="H8" s="9" t="str">
        <v/>
      </c>
      <c r="I8" s="9" t="str">
        <v/>
      </c>
      <c r="J8" s="9" t="str">
        <v/>
      </c>
      <c r="K8" s="9" t="str">
        <v/>
      </c>
      <c r="L8" s="9" t="str">
        <v/>
      </c>
      <c r="M8" s="11" t="str">
        <v/>
      </c>
    </row>
    <row r="9">
      <c r="A9" s="6" t="str">
        <v>MARC038 Operate main propulsion unit and auxiliary systems</v>
      </c>
      <c r="B9" s="6" t="str">
        <v>2. Operate propulsion unit and auxiliary system</v>
      </c>
      <c r="C9" s="6" t="str">
        <v>2.2</v>
      </c>
      <c r="D9" s="7" t="str">
        <v>Performance and efficiency of equipment is monitored according to manufacturer instructions</v>
      </c>
      <c r="E9" s="6" t="str">
        <v/>
      </c>
      <c r="F9" s="6" t="str">
        <f>SUMPRODUCT(--((G9:M9&lt;&gt;"")*( G9:M9&lt;&gt;0)))</f>
        <v/>
      </c>
      <c r="G9" s="6" t="str">
        <v/>
      </c>
      <c r="H9" s="6" t="str">
        <v/>
      </c>
      <c r="I9" s="6" t="str">
        <v/>
      </c>
      <c r="J9" s="6" t="str">
        <v/>
      </c>
      <c r="K9" s="6" t="str">
        <v/>
      </c>
      <c r="L9" s="6" t="str">
        <v/>
      </c>
      <c r="M9" s="6" t="str">
        <v/>
      </c>
    </row>
    <row r="10">
      <c r="A10" s="8" t="str">
        <v>MARC038 Operate main propulsion unit and auxiliary systems</v>
      </c>
      <c r="B10" s="9" t="str">
        <v>2. Operate propulsion unit and auxiliary system</v>
      </c>
      <c r="C10" s="9" t="str">
        <v>2.3</v>
      </c>
      <c r="D10" s="10" t="str">
        <v>Equipment is maintained within defined operating limits when running, to achieve optimum safety and efficiency</v>
      </c>
      <c r="E10" s="9" t="str">
        <v/>
      </c>
      <c r="F10" s="9" t="str">
        <f>SUMPRODUCT(--((G10:M10&lt;&gt;"")*( G10:M10&lt;&gt;0)))</f>
        <v/>
      </c>
      <c r="G10" s="9" t="str">
        <v/>
      </c>
      <c r="H10" s="9" t="str">
        <v/>
      </c>
      <c r="I10" s="9" t="str">
        <v/>
      </c>
      <c r="J10" s="9" t="str">
        <v/>
      </c>
      <c r="K10" s="9" t="str">
        <v/>
      </c>
      <c r="L10" s="9" t="str">
        <v/>
      </c>
      <c r="M10" s="11" t="str">
        <v/>
      </c>
    </row>
    <row r="11">
      <c r="A11" s="6" t="str">
        <v>MARC038 Operate main propulsion unit and auxiliary systems</v>
      </c>
      <c r="B11" s="6" t="str">
        <v>2. Operate propulsion unit and auxiliary system</v>
      </c>
      <c r="C11" s="6" t="str">
        <v>2.4</v>
      </c>
      <c r="D11" s="7" t="str">
        <v>Environmental implications associated with operating equipment are identified and controlled</v>
      </c>
      <c r="E11" s="6" t="str">
        <v/>
      </c>
      <c r="F11" s="6" t="str">
        <f>SUMPRODUCT(--((G11:M11&lt;&gt;"")*( G11:M11&lt;&gt;0)))</f>
        <v/>
      </c>
      <c r="G11" s="6" t="str">
        <v/>
      </c>
      <c r="H11" s="6" t="str">
        <v/>
      </c>
      <c r="I11" s="6" t="str">
        <v/>
      </c>
      <c r="J11" s="6" t="str">
        <v/>
      </c>
      <c r="K11" s="6" t="str">
        <v/>
      </c>
      <c r="L11" s="6" t="str">
        <v/>
      </c>
      <c r="M11" s="6" t="str">
        <v/>
      </c>
    </row>
    <row r="12">
      <c r="A12" s="8" t="str">
        <v>MARC038 Operate main propulsion unit and auxiliary systems</v>
      </c>
      <c r="B12" s="9" t="str">
        <v>2. Operate propulsion unit and auxiliary system</v>
      </c>
      <c r="C12" s="9" t="str">
        <v>2.5</v>
      </c>
      <c r="D12" s="10" t="str">
        <v>Deviations from normal operations are promptly identified</v>
      </c>
      <c r="E12" s="9" t="str">
        <v/>
      </c>
      <c r="F12" s="9" t="str">
        <f>SUMPRODUCT(--((G12:M12&lt;&gt;"")*( G12:M12&lt;&gt;0)))</f>
        <v/>
      </c>
      <c r="G12" s="9" t="str">
        <v/>
      </c>
      <c r="H12" s="9" t="str">
        <v/>
      </c>
      <c r="I12" s="9" t="str">
        <v/>
      </c>
      <c r="J12" s="9" t="str">
        <v/>
      </c>
      <c r="K12" s="9" t="str">
        <v/>
      </c>
      <c r="L12" s="9" t="str">
        <v/>
      </c>
      <c r="M12" s="11" t="str">
        <v/>
      </c>
    </row>
    <row r="13">
      <c r="A13" s="6" t="str">
        <v>MARC038 Operate main propulsion unit and auxiliary systems</v>
      </c>
      <c r="B13" s="6" t="str">
        <v>2. Operate propulsion unit and auxiliary system</v>
      </c>
      <c r="C13" s="6" t="str">
        <v>2.6</v>
      </c>
      <c r="D13" s="7" t="str">
        <v>Action is taken to rectify irregularities to maintain optimum safety and efficiency</v>
      </c>
      <c r="E13" s="6" t="str">
        <v/>
      </c>
      <c r="F13" s="6" t="str">
        <f>SUMPRODUCT(--((G13:M13&lt;&gt;"")*( G13:M13&lt;&gt;0)))</f>
        <v/>
      </c>
      <c r="G13" s="6" t="str">
        <v/>
      </c>
      <c r="H13" s="6" t="str">
        <v/>
      </c>
      <c r="I13" s="6" t="str">
        <v/>
      </c>
      <c r="J13" s="6" t="str">
        <v/>
      </c>
      <c r="K13" s="6" t="str">
        <v/>
      </c>
      <c r="L13" s="6" t="str">
        <v/>
      </c>
      <c r="M13" s="6" t="str">
        <v/>
      </c>
    </row>
    <row r="14">
      <c r="A14" s="8" t="str">
        <v>MARC038 Operate main propulsion unit and auxiliary systems</v>
      </c>
      <c r="B14" s="9" t="str">
        <v>3. Check and complete propulsion unit and auxiliary system operation</v>
      </c>
      <c r="C14" s="9" t="str">
        <v>3.1</v>
      </c>
      <c r="D14" s="10" t="str">
        <v>Equipment shutdown procedures are carried out according to manufacturer specifications and workplace procedures</v>
      </c>
      <c r="E14" s="9" t="str">
        <v/>
      </c>
      <c r="F14" s="9" t="str">
        <f>SUMPRODUCT(--((G14:M14&lt;&gt;"")*( G14:M14&lt;&gt;0)))</f>
        <v/>
      </c>
      <c r="G14" s="9" t="str">
        <v/>
      </c>
      <c r="H14" s="9" t="str">
        <v/>
      </c>
      <c r="I14" s="9" t="str">
        <v/>
      </c>
      <c r="J14" s="9" t="str">
        <v/>
      </c>
      <c r="K14" s="9" t="str">
        <v/>
      </c>
      <c r="L14" s="9" t="str">
        <v/>
      </c>
      <c r="M14" s="11" t="str">
        <v/>
      </c>
    </row>
    <row r="15">
      <c r="A15" s="6" t="str">
        <v>MARC038 Operate main propulsion unit and auxiliary systems</v>
      </c>
      <c r="B15" s="6" t="str">
        <v>3. Check and complete propulsion unit and auxiliary system operation</v>
      </c>
      <c r="C15" s="6" t="str">
        <v>3.2</v>
      </c>
      <c r="D15" s="7" t="str">
        <v>Equipment operational records are maintained according to workplace procedures</v>
      </c>
      <c r="E15" s="6" t="str">
        <v/>
      </c>
      <c r="F15" s="6" t="str">
        <f>SUMPRODUCT(--((G15:M15&lt;&gt;"")*( G15:M15&lt;&gt;0)))</f>
        <v/>
      </c>
      <c r="G15" s="6" t="str">
        <v/>
      </c>
      <c r="H15" s="6" t="str">
        <v/>
      </c>
      <c r="I15" s="6" t="str">
        <v/>
      </c>
      <c r="J15" s="6" t="str">
        <v/>
      </c>
      <c r="K15" s="6" t="str">
        <v/>
      </c>
      <c r="L15" s="6" t="str">
        <v/>
      </c>
      <c r="M15" s="6" t="str">
        <v/>
      </c>
    </row>
    <row r="16">
      <c r="A16" s="8" t="str">
        <v>MARC038 Operate main propulsion unit and auxiliary systems</v>
      </c>
      <c r="B16" s="9" t="str">
        <v>3. Check and complete propulsion unit and auxiliary system operation</v>
      </c>
      <c r="C16" s="9" t="str">
        <v>3.3</v>
      </c>
      <c r="D16" s="10" t="str">
        <v>Equipment damage, malfunctions or irregular performance are recorded and reported according to workplace procedures</v>
      </c>
      <c r="E16" s="9" t="str">
        <v/>
      </c>
      <c r="F16" s="9" t="str">
        <f>SUMPRODUCT(--((G16:M16&lt;&gt;"")*( G16:M16&lt;&gt;0)))</f>
        <v/>
      </c>
      <c r="G16" s="9" t="str">
        <v/>
      </c>
      <c r="H16" s="9" t="str">
        <v/>
      </c>
      <c r="I16" s="9" t="str">
        <v/>
      </c>
      <c r="J16" s="9" t="str">
        <v/>
      </c>
      <c r="K16" s="9" t="str">
        <v/>
      </c>
      <c r="L16" s="9" t="str">
        <v/>
      </c>
      <c r="M16" s="11" t="str">
        <v/>
      </c>
    </row>
    <row r="17">
      <c r="A17" s="6" t="str">
        <v>MARC038 Operate main propulsion unit and auxiliary systems</v>
      </c>
      <c r="B17" s="6" t="str">
        <v>3. Check and complete propulsion unit and auxiliary system operation</v>
      </c>
      <c r="C17" s="6" t="str">
        <v>3.4</v>
      </c>
      <c r="D17" s="7" t="str">
        <v>Equipment is cleaned according to manufacturer specifications and workplace procedures</v>
      </c>
      <c r="E17" s="6" t="str">
        <v/>
      </c>
      <c r="F17" s="6" t="str">
        <f>SUMPRODUCT(--((G17:M17&lt;&gt;"")*( G17:M17&lt;&gt;0)))</f>
        <v/>
      </c>
      <c r="G17" s="6" t="str">
        <v/>
      </c>
      <c r="H17" s="6" t="str">
        <v/>
      </c>
      <c r="I17" s="6" t="str">
        <v/>
      </c>
      <c r="J17" s="6" t="str">
        <v/>
      </c>
      <c r="K17" s="6" t="str">
        <v/>
      </c>
      <c r="L17" s="6" t="str">
        <v/>
      </c>
      <c r="M17" s="6" t="str">
        <v/>
      </c>
    </row>
    <row r="18" xml:space="preserve">
      <c r="A18" s="8" t="str">
        <v>MARC038 Operate main propulsion unit and auxiliary systems</v>
      </c>
      <c r="B18" s="9" t="str">
        <v>Performance Evidence</v>
      </c>
      <c r="C18" s="9" t="str">
        <v>P1</v>
      </c>
      <c r="D18" s="10" t="str" xml:space="preserve">
        <v xml:space="preserve">Applying work health and safety (WHS)/occupational health and safety (OHS) requirements and safe work practices and:
-	using appropriate personal protective clothing and equipment (PPE)</v>
      </c>
      <c r="E18" s="9" t="str">
        <v/>
      </c>
      <c r="F18" s="9" t="str">
        <f>SUMPRODUCT(--((G18:M18&lt;&gt;"")*( G18:M18&lt;&gt;0)))</f>
        <v/>
      </c>
      <c r="G18" s="9" t="str">
        <v/>
      </c>
      <c r="H18" s="9" t="str">
        <v/>
      </c>
      <c r="I18" s="9" t="str">
        <v/>
      </c>
      <c r="J18" s="9" t="str">
        <v/>
      </c>
      <c r="K18" s="9" t="str">
        <v/>
      </c>
      <c r="L18" s="9" t="str">
        <v/>
      </c>
      <c r="M18" s="11" t="str">
        <v/>
      </c>
    </row>
    <row r="19" xml:space="preserve">
      <c r="A19" s="6" t="str">
        <v>MARC038 Operate main propulsion unit and auxiliary systems</v>
      </c>
      <c r="B19" s="6" t="str">
        <v>Performance Evidence</v>
      </c>
      <c r="C19" s="6" t="str">
        <v>P2</v>
      </c>
      <c r="D19" s="7" t="str" xml:space="preserve">
        <v xml:space="preserve">Carrying out pre-operational checks, and:
-	checking fuel system
-	checking leads, lines and connections
-	checking oils and lubricants
-	inspecting safety guards</v>
      </c>
      <c r="E19" s="6" t="str">
        <v/>
      </c>
      <c r="F19" s="6" t="str">
        <f>SUMPRODUCT(--((G19:M19&lt;&gt;"")*( G19:M19&lt;&gt;0)))</f>
        <v/>
      </c>
      <c r="G19" s="6" t="str">
        <v/>
      </c>
      <c r="H19" s="6" t="str">
        <v/>
      </c>
      <c r="I19" s="6" t="str">
        <v/>
      </c>
      <c r="J19" s="6" t="str">
        <v/>
      </c>
      <c r="K19" s="6" t="str">
        <v/>
      </c>
      <c r="L19" s="6" t="str">
        <v/>
      </c>
      <c r="M19" s="6" t="str">
        <v/>
      </c>
    </row>
    <row r="20">
      <c r="A20" s="8" t="str">
        <v>MARC038 Operate main propulsion unit and auxiliary systems</v>
      </c>
      <c r="B20" s="9" t="str">
        <v>Performance Evidence</v>
      </c>
      <c r="C20" s="9" t="str">
        <v>P3</v>
      </c>
      <c r="D20" s="10" t="str">
        <v>Implementing environmentally responsible work practices</v>
      </c>
      <c r="E20" s="9" t="str">
        <v/>
      </c>
      <c r="F20" s="9" t="str">
        <f>SUMPRODUCT(--((G20:M20&lt;&gt;"")*( G20:M20&lt;&gt;0)))</f>
        <v/>
      </c>
      <c r="G20" s="9" t="str">
        <v/>
      </c>
      <c r="H20" s="9" t="str">
        <v/>
      </c>
      <c r="I20" s="9" t="str">
        <v/>
      </c>
      <c r="J20" s="9" t="str">
        <v/>
      </c>
      <c r="K20" s="9" t="str">
        <v/>
      </c>
      <c r="L20" s="9" t="str">
        <v/>
      </c>
      <c r="M20" s="11" t="str">
        <v/>
      </c>
    </row>
    <row r="21">
      <c r="A21" s="6" t="str">
        <v>MARC038 Operate main propulsion unit and auxiliary systems</v>
      </c>
      <c r="B21" s="6" t="str">
        <v>Performance Evidence</v>
      </c>
      <c r="C21" s="6" t="str">
        <v>P4</v>
      </c>
      <c r="D21" s="7" t="str">
        <v>Maintaining engine work load within specifications</v>
      </c>
      <c r="E21" s="6" t="str">
        <v/>
      </c>
      <c r="F21" s="6" t="str">
        <f>SUMPRODUCT(--((G21:M21&lt;&gt;"")*( G21:M21&lt;&gt;0)))</f>
        <v/>
      </c>
      <c r="G21" s="6" t="str">
        <v/>
      </c>
      <c r="H21" s="6" t="str">
        <v/>
      </c>
      <c r="I21" s="6" t="str">
        <v/>
      </c>
      <c r="J21" s="6" t="str">
        <v/>
      </c>
      <c r="K21" s="6" t="str">
        <v/>
      </c>
      <c r="L21" s="6" t="str">
        <v/>
      </c>
      <c r="M21" s="6" t="str">
        <v/>
      </c>
    </row>
    <row r="22">
      <c r="A22" s="8" t="str">
        <v>MARC038 Operate main propulsion unit and auxiliary systems</v>
      </c>
      <c r="B22" s="9" t="str">
        <v>Performance Evidence</v>
      </c>
      <c r="C22" s="9" t="str">
        <v>P5</v>
      </c>
      <c r="D22" s="10" t="str">
        <v>Measuring and calculating volumes, consumption and servicing requirements</v>
      </c>
      <c r="E22" s="9" t="str">
        <v/>
      </c>
      <c r="F22" s="9" t="str">
        <f>SUMPRODUCT(--((G22:M22&lt;&gt;"")*( G22:M22&lt;&gt;0)))</f>
        <v/>
      </c>
      <c r="G22" s="9" t="str">
        <v/>
      </c>
      <c r="H22" s="9" t="str">
        <v/>
      </c>
      <c r="I22" s="9" t="str">
        <v/>
      </c>
      <c r="J22" s="9" t="str">
        <v/>
      </c>
      <c r="K22" s="9" t="str">
        <v/>
      </c>
      <c r="L22" s="9" t="str">
        <v/>
      </c>
      <c r="M22" s="11" t="str">
        <v/>
      </c>
    </row>
    <row r="23">
      <c r="A23" s="6" t="str">
        <v>MARC038 Operate main propulsion unit and auxiliary systems</v>
      </c>
      <c r="B23" s="6" t="str">
        <v>Performance Evidence</v>
      </c>
      <c r="C23" s="6" t="str">
        <v>P6</v>
      </c>
      <c r="D23" s="7" t="str">
        <v>Monitoring noise levels for correct operation</v>
      </c>
      <c r="E23" s="6" t="str">
        <v/>
      </c>
      <c r="F23" s="6" t="str">
        <f>SUMPRODUCT(--((G23:M23&lt;&gt;"")*( G23:M23&lt;&gt;0)))</f>
        <v/>
      </c>
      <c r="G23" s="6" t="str">
        <v/>
      </c>
      <c r="H23" s="6" t="str">
        <v/>
      </c>
      <c r="I23" s="6" t="str">
        <v/>
      </c>
      <c r="J23" s="6" t="str">
        <v/>
      </c>
      <c r="K23" s="6" t="str">
        <v/>
      </c>
      <c r="L23" s="6" t="str">
        <v/>
      </c>
      <c r="M23" s="6" t="str">
        <v/>
      </c>
    </row>
    <row r="24">
      <c r="A24" s="8" t="str">
        <v>MARC038 Operate main propulsion unit and auxiliary systems</v>
      </c>
      <c r="B24" s="9" t="str">
        <v>Performance Evidence</v>
      </c>
      <c r="C24" s="9" t="str">
        <v>P7</v>
      </c>
      <c r="D24" s="10" t="str">
        <v>Operating propulsion machinery and ancillary equipment</v>
      </c>
      <c r="E24" s="9" t="str">
        <v/>
      </c>
      <c r="F24" s="9" t="str">
        <f>SUMPRODUCT(--((G24:M24&lt;&gt;"")*( G24:M24&lt;&gt;0)))</f>
        <v/>
      </c>
      <c r="G24" s="9" t="str">
        <v/>
      </c>
      <c r="H24" s="9" t="str">
        <v/>
      </c>
      <c r="I24" s="9" t="str">
        <v/>
      </c>
      <c r="J24" s="9" t="str">
        <v/>
      </c>
      <c r="K24" s="9" t="str">
        <v/>
      </c>
      <c r="L24" s="9" t="str">
        <v/>
      </c>
      <c r="M24" s="11" t="str">
        <v/>
      </c>
    </row>
    <row r="25">
      <c r="A25" s="6" t="str">
        <v>MARC038 Operate main propulsion unit and auxiliary systems</v>
      </c>
      <c r="B25" s="6" t="str">
        <v>Performance Evidence</v>
      </c>
      <c r="C25" s="6" t="str">
        <v>P8</v>
      </c>
      <c r="D25" s="7" t="str">
        <v>Recordkeeping.</v>
      </c>
      <c r="E25" s="6" t="str">
        <v/>
      </c>
      <c r="F25" s="6" t="str">
        <f>SUMPRODUCT(--((G25:M25&lt;&gt;"")*( G25:M25&lt;&gt;0)))</f>
        <v/>
      </c>
      <c r="G25" s="6" t="str">
        <v/>
      </c>
      <c r="H25" s="6" t="str">
        <v/>
      </c>
      <c r="I25" s="6" t="str">
        <v/>
      </c>
      <c r="J25" s="6" t="str">
        <v/>
      </c>
      <c r="K25" s="6" t="str">
        <v/>
      </c>
      <c r="L25" s="6" t="str">
        <v/>
      </c>
      <c r="M25" s="6" t="str">
        <v/>
      </c>
    </row>
    <row r="26">
      <c r="A26" s="8" t="str">
        <v>MARC038 Operate main propulsion unit and auxiliary systems</v>
      </c>
      <c r="B26" s="9" t="str">
        <v>Performance Evidence</v>
      </c>
      <c r="C26" s="9" t="str">
        <v>P9</v>
      </c>
      <c r="D26" s="10" t="str">
        <v>Using appropriate personal protective clothing and equipment (PPE)</v>
      </c>
      <c r="E26" s="9" t="str">
        <v/>
      </c>
      <c r="F26" s="9" t="str">
        <f>SUMPRODUCT(--((G26:M26&lt;&gt;"")*( G26:M26&lt;&gt;0)))</f>
        <v/>
      </c>
      <c r="G26" s="9" t="str">
        <v/>
      </c>
      <c r="H26" s="9" t="str">
        <v/>
      </c>
      <c r="I26" s="9" t="str">
        <v/>
      </c>
      <c r="J26" s="9" t="str">
        <v/>
      </c>
      <c r="K26" s="9" t="str">
        <v/>
      </c>
      <c r="L26" s="9" t="str">
        <v/>
      </c>
      <c r="M26" s="11" t="str">
        <v/>
      </c>
    </row>
    <row r="27">
      <c r="A27" s="6" t="str">
        <v>MARC038 Operate main propulsion unit and auxiliary systems</v>
      </c>
      <c r="B27" s="6" t="str">
        <v>Performance Evidence</v>
      </c>
      <c r="C27" s="6" t="str">
        <v>P10</v>
      </c>
      <c r="D27" s="7" t="str">
        <v>Checking fuel system</v>
      </c>
      <c r="E27" s="6" t="str">
        <v/>
      </c>
      <c r="F27" s="6" t="str">
        <f>SUMPRODUCT(--((G27:M27&lt;&gt;"")*( G27:M27&lt;&gt;0)))</f>
        <v/>
      </c>
      <c r="G27" s="6" t="str">
        <v/>
      </c>
      <c r="H27" s="6" t="str">
        <v/>
      </c>
      <c r="I27" s="6" t="str">
        <v/>
      </c>
      <c r="J27" s="6" t="str">
        <v/>
      </c>
      <c r="K27" s="6" t="str">
        <v/>
      </c>
      <c r="L27" s="6" t="str">
        <v/>
      </c>
      <c r="M27" s="6" t="str">
        <v/>
      </c>
    </row>
    <row r="28">
      <c r="A28" s="8" t="str">
        <v>MARC038 Operate main propulsion unit and auxiliary systems</v>
      </c>
      <c r="B28" s="9" t="str">
        <v>Performance Evidence</v>
      </c>
      <c r="C28" s="9" t="str">
        <v>P11</v>
      </c>
      <c r="D28" s="10" t="str">
        <v>Checking leads, lines and connections</v>
      </c>
      <c r="E28" s="9" t="str">
        <v/>
      </c>
      <c r="F28" s="9" t="str">
        <f>SUMPRODUCT(--((G28:M28&lt;&gt;"")*( G28:M28&lt;&gt;0)))</f>
        <v/>
      </c>
      <c r="G28" s="9" t="str">
        <v/>
      </c>
      <c r="H28" s="9" t="str">
        <v/>
      </c>
      <c r="I28" s="9" t="str">
        <v/>
      </c>
      <c r="J28" s="9" t="str">
        <v/>
      </c>
      <c r="K28" s="9" t="str">
        <v/>
      </c>
      <c r="L28" s="9" t="str">
        <v/>
      </c>
      <c r="M28" s="11" t="str">
        <v/>
      </c>
    </row>
    <row r="29">
      <c r="A29" s="6" t="str">
        <v>MARC038 Operate main propulsion unit and auxiliary systems</v>
      </c>
      <c r="B29" s="6" t="str">
        <v>Performance Evidence</v>
      </c>
      <c r="C29" s="6" t="str">
        <v>P12</v>
      </c>
      <c r="D29" s="7" t="str">
        <v>Checking oils and lubricants</v>
      </c>
      <c r="E29" s="6" t="str">
        <v/>
      </c>
      <c r="F29" s="6" t="str">
        <f>SUMPRODUCT(--((G29:M29&lt;&gt;"")*( G29:M29&lt;&gt;0)))</f>
        <v/>
      </c>
      <c r="G29" s="6" t="str">
        <v/>
      </c>
      <c r="H29" s="6" t="str">
        <v/>
      </c>
      <c r="I29" s="6" t="str">
        <v/>
      </c>
      <c r="J29" s="6" t="str">
        <v/>
      </c>
      <c r="K29" s="6" t="str">
        <v/>
      </c>
      <c r="L29" s="6" t="str">
        <v/>
      </c>
      <c r="M29" s="6" t="str">
        <v/>
      </c>
    </row>
    <row r="30">
      <c r="A30" s="8" t="str">
        <v>MARC038 Operate main propulsion unit and auxiliary systems</v>
      </c>
      <c r="B30" s="9" t="str">
        <v>Performance Evidence</v>
      </c>
      <c r="C30" s="9" t="str">
        <v>P13</v>
      </c>
      <c r="D30" s="10" t="str">
        <v>Inspecting safety guards</v>
      </c>
      <c r="E30" s="9" t="str">
        <v/>
      </c>
      <c r="F30" s="9" t="str">
        <f>SUMPRODUCT(--((G30:M30&lt;&gt;"")*( G30:M30&lt;&gt;0)))</f>
        <v/>
      </c>
      <c r="G30" s="9" t="str">
        <v/>
      </c>
      <c r="H30" s="9" t="str">
        <v/>
      </c>
      <c r="I30" s="9" t="str">
        <v/>
      </c>
      <c r="J30" s="9" t="str">
        <v/>
      </c>
      <c r="K30" s="9" t="str">
        <v/>
      </c>
      <c r="L30" s="9" t="str">
        <v/>
      </c>
      <c r="M30" s="11" t="str">
        <v/>
      </c>
    </row>
    <row r="31">
      <c r="A31" s="6" t="str">
        <v>MARC038 Operate main propulsion unit and auxiliary systems</v>
      </c>
      <c r="B31" s="6" t="str">
        <v>Knowledge Evidence</v>
      </c>
      <c r="C31" s="6" t="str">
        <v>K1</v>
      </c>
      <c r="D31" s="7" t="str">
        <v>Basic operating principles of two and four-stroke engines</v>
      </c>
      <c r="E31" s="6" t="str">
        <v/>
      </c>
      <c r="F31" s="6" t="str">
        <f>SUMPRODUCT(--((G31:M31&lt;&gt;"")*( G31:M31&lt;&gt;0)))</f>
        <v/>
      </c>
      <c r="G31" s="6" t="str">
        <v/>
      </c>
      <c r="H31" s="6" t="str">
        <v/>
      </c>
      <c r="I31" s="6" t="str">
        <v/>
      </c>
      <c r="J31" s="6" t="str">
        <v/>
      </c>
      <c r="K31" s="6" t="str">
        <v/>
      </c>
      <c r="L31" s="6" t="str">
        <v/>
      </c>
      <c r="M31" s="6" t="str">
        <v/>
      </c>
    </row>
    <row r="32">
      <c r="A32" s="8" t="str">
        <v>MARC038 Operate main propulsion unit and auxiliary systems</v>
      </c>
      <c r="B32" s="9" t="str">
        <v>Knowledge Evidence</v>
      </c>
      <c r="C32" s="9" t="str">
        <v>K2</v>
      </c>
      <c r="D32" s="10" t="str">
        <v>Environmental impacts and minimisation measures associated with operating propulsion machinery and auxiliary equipment</v>
      </c>
      <c r="E32" s="9" t="str">
        <v/>
      </c>
      <c r="F32" s="9" t="str">
        <f>SUMPRODUCT(--((G32:M32&lt;&gt;"")*( G32:M32&lt;&gt;0)))</f>
        <v/>
      </c>
      <c r="G32" s="9" t="str">
        <v/>
      </c>
      <c r="H32" s="9" t="str">
        <v/>
      </c>
      <c r="I32" s="9" t="str">
        <v/>
      </c>
      <c r="J32" s="9" t="str">
        <v/>
      </c>
      <c r="K32" s="9" t="str">
        <v/>
      </c>
      <c r="L32" s="9" t="str">
        <v/>
      </c>
      <c r="M32" s="11" t="str">
        <v/>
      </c>
    </row>
    <row r="33">
      <c r="A33" s="6" t="str">
        <v>MARC038 Operate main propulsion unit and auxiliary systems</v>
      </c>
      <c r="B33" s="6" t="str">
        <v>Knowledge Evidence</v>
      </c>
      <c r="C33" s="6" t="str">
        <v>K3</v>
      </c>
      <c r="D33" s="7" t="str">
        <v>Environmental responsibilities</v>
      </c>
      <c r="E33" s="6" t="str">
        <v/>
      </c>
      <c r="F33" s="6" t="str">
        <f>SUMPRODUCT(--((G33:M33&lt;&gt;"")*( G33:M33&lt;&gt;0)))</f>
        <v/>
      </c>
      <c r="G33" s="6" t="str">
        <v/>
      </c>
      <c r="H33" s="6" t="str">
        <v/>
      </c>
      <c r="I33" s="6" t="str">
        <v/>
      </c>
      <c r="J33" s="6" t="str">
        <v/>
      </c>
      <c r="K33" s="6" t="str">
        <v/>
      </c>
      <c r="L33" s="6" t="str">
        <v/>
      </c>
      <c r="M33" s="6" t="str">
        <v/>
      </c>
    </row>
    <row r="34">
      <c r="A34" s="8" t="str">
        <v>MARC038 Operate main propulsion unit and auxiliary systems</v>
      </c>
      <c r="B34" s="9" t="str">
        <v>Knowledge Evidence</v>
      </c>
      <c r="C34" s="9" t="str">
        <v>K4</v>
      </c>
      <c r="D34" s="10" t="str">
        <v>Identification of components</v>
      </c>
      <c r="E34" s="9" t="str">
        <v/>
      </c>
      <c r="F34" s="9" t="str">
        <f>SUMPRODUCT(--((G34:M34&lt;&gt;"")*( G34:M34&lt;&gt;0)))</f>
        <v/>
      </c>
      <c r="G34" s="9" t="str">
        <v/>
      </c>
      <c r="H34" s="9" t="str">
        <v/>
      </c>
      <c r="I34" s="9" t="str">
        <v/>
      </c>
      <c r="J34" s="9" t="str">
        <v/>
      </c>
      <c r="K34" s="9" t="str">
        <v/>
      </c>
      <c r="L34" s="9" t="str">
        <v/>
      </c>
      <c r="M34" s="11" t="str">
        <v/>
      </c>
    </row>
    <row r="35">
      <c r="A35" s="6" t="str">
        <v>MARC038 Operate main propulsion unit and auxiliary systems</v>
      </c>
      <c r="B35" s="6" t="str">
        <v>Knowledge Evidence</v>
      </c>
      <c r="C35" s="6" t="str">
        <v>K5</v>
      </c>
      <c r="D35" s="7" t="str">
        <v>Manufacturer specifications for operating propulsion machinery and auxiliary equipment</v>
      </c>
      <c r="E35" s="6" t="str">
        <v/>
      </c>
      <c r="F35" s="6" t="str">
        <f>SUMPRODUCT(--((G35:M35&lt;&gt;"")*( G35:M35&lt;&gt;0)))</f>
        <v/>
      </c>
      <c r="G35" s="6" t="str">
        <v/>
      </c>
      <c r="H35" s="6" t="str">
        <v/>
      </c>
      <c r="I35" s="6" t="str">
        <v/>
      </c>
      <c r="J35" s="6" t="str">
        <v/>
      </c>
      <c r="K35" s="6" t="str">
        <v/>
      </c>
      <c r="L35" s="6" t="str">
        <v/>
      </c>
      <c r="M35" s="6" t="str">
        <v/>
      </c>
    </row>
    <row r="36">
      <c r="A36" s="8" t="str">
        <v>MARC038 Operate main propulsion unit and auxiliary systems</v>
      </c>
      <c r="B36" s="9" t="str">
        <v>Knowledge Evidence</v>
      </c>
      <c r="C36" s="9" t="str">
        <v>K6</v>
      </c>
      <c r="D36" s="10" t="str">
        <v>Operating principles and operating methods for propulsion machinery and auxiliary equipment</v>
      </c>
      <c r="E36" s="9" t="str">
        <v/>
      </c>
      <c r="F36" s="9" t="str">
        <f>SUMPRODUCT(--((G36:M36&lt;&gt;"")*( G36:M36&lt;&gt;0)))</f>
        <v/>
      </c>
      <c r="G36" s="9" t="str">
        <v/>
      </c>
      <c r="H36" s="9" t="str">
        <v/>
      </c>
      <c r="I36" s="9" t="str">
        <v/>
      </c>
      <c r="J36" s="9" t="str">
        <v/>
      </c>
      <c r="K36" s="9" t="str">
        <v/>
      </c>
      <c r="L36" s="9" t="str">
        <v/>
      </c>
      <c r="M36" s="11" t="str">
        <v/>
      </c>
    </row>
    <row r="37">
      <c r="A37" s="6" t="str">
        <v>MARC038 Operate main propulsion unit and auxiliary systems</v>
      </c>
      <c r="B37" s="6" t="str">
        <v>Knowledge Evidence</v>
      </c>
      <c r="C37" s="6" t="str">
        <v>K7</v>
      </c>
      <c r="D37" s="7" t="str">
        <v>Potential hazards and risks associated with operating propulsion machinery and auxiliary equipment</v>
      </c>
      <c r="E37" s="6" t="str">
        <v/>
      </c>
      <c r="F37" s="6" t="str">
        <f>SUMPRODUCT(--((G37:M37&lt;&gt;"")*( G37:M37&lt;&gt;0)))</f>
        <v/>
      </c>
      <c r="G37" s="6" t="str">
        <v/>
      </c>
      <c r="H37" s="6" t="str">
        <v/>
      </c>
      <c r="I37" s="6" t="str">
        <v/>
      </c>
      <c r="J37" s="6" t="str">
        <v/>
      </c>
      <c r="K37" s="6" t="str">
        <v/>
      </c>
      <c r="L37" s="6" t="str">
        <v/>
      </c>
      <c r="M37" s="6" t="str">
        <v/>
      </c>
    </row>
    <row r="38" xml:space="preserve">
      <c r="A38" s="8" t="str">
        <v>MARC038 Operate main propulsion unit and auxiliary systems</v>
      </c>
      <c r="B38" s="9" t="str">
        <v>Knowledge Evidence</v>
      </c>
      <c r="C38" s="9" t="str">
        <v>K8</v>
      </c>
      <c r="D38" s="10" t="str" xml:space="preserve">
        <v xml:space="preserve">Propulsion machinery and ancillary equipment, includes:
-	ancillary equipment
-	bilge systems
-	cooling, lubricating and fuel systems
-	diesel engines
-	drive train assembly
-	low voltage electrical systems
-	machinery monitoring equipment
-	outboard engines
-	shore power leads and connections
-	steering gear</v>
      </c>
      <c r="E38" s="9" t="str">
        <v/>
      </c>
      <c r="F38" s="9" t="str">
        <f>SUMPRODUCT(--((G38:M38&lt;&gt;"")*( G38:M38&lt;&gt;0)))</f>
        <v/>
      </c>
      <c r="G38" s="9" t="str">
        <v/>
      </c>
      <c r="H38" s="9" t="str">
        <v/>
      </c>
      <c r="I38" s="9" t="str">
        <v/>
      </c>
      <c r="J38" s="9" t="str">
        <v/>
      </c>
      <c r="K38" s="9" t="str">
        <v/>
      </c>
      <c r="L38" s="9" t="str">
        <v/>
      </c>
      <c r="M38" s="11" t="str">
        <v/>
      </c>
    </row>
    <row r="39">
      <c r="A39" s="6" t="str">
        <v>MARC038 Operate main propulsion unit and auxiliary systems</v>
      </c>
      <c r="B39" s="6" t="str">
        <v>Knowledge Evidence</v>
      </c>
      <c r="C39" s="6" t="str">
        <v>K9</v>
      </c>
      <c r="D39" s="7" t="str">
        <v>Routine checks required with the operation of propulsion machinery, auxiliary equipment and other mechanical equipment</v>
      </c>
      <c r="E39" s="6" t="str">
        <v/>
      </c>
      <c r="F39" s="6" t="str">
        <f>SUMPRODUCT(--((G39:M39&lt;&gt;"")*( G39:M39&lt;&gt;0)))</f>
        <v/>
      </c>
      <c r="G39" s="6" t="str">
        <v/>
      </c>
      <c r="H39" s="6" t="str">
        <v/>
      </c>
      <c r="I39" s="6" t="str">
        <v/>
      </c>
      <c r="J39" s="6" t="str">
        <v/>
      </c>
      <c r="K39" s="6" t="str">
        <v/>
      </c>
      <c r="L39" s="6" t="str">
        <v/>
      </c>
      <c r="M39" s="6" t="str">
        <v/>
      </c>
    </row>
    <row r="40">
      <c r="A40" s="8" t="str">
        <v>MARC038 Operate main propulsion unit and auxiliary systems</v>
      </c>
      <c r="B40" s="9" t="str">
        <v>Knowledge Evidence</v>
      </c>
      <c r="C40" s="9" t="str">
        <v>K10</v>
      </c>
      <c r="D40" s="10" t="str">
        <v>Shore power connections and associated hazards</v>
      </c>
      <c r="E40" s="9" t="str">
        <v/>
      </c>
      <c r="F40" s="9" t="str">
        <f>SUMPRODUCT(--((G40:M40&lt;&gt;"")*( G40:M40&lt;&gt;0)))</f>
        <v/>
      </c>
      <c r="G40" s="9" t="str">
        <v/>
      </c>
      <c r="H40" s="9" t="str">
        <v/>
      </c>
      <c r="I40" s="9" t="str">
        <v/>
      </c>
      <c r="J40" s="9" t="str">
        <v/>
      </c>
      <c r="K40" s="9" t="str">
        <v/>
      </c>
      <c r="L40" s="9" t="str">
        <v/>
      </c>
      <c r="M40" s="11" t="str">
        <v/>
      </c>
    </row>
    <row r="41">
      <c r="A41" s="6" t="str">
        <v>MARC038 Operate main propulsion unit and auxiliary systems</v>
      </c>
      <c r="B41" s="6" t="str">
        <v>Knowledge Evidence</v>
      </c>
      <c r="C41" s="6" t="str">
        <v>K11</v>
      </c>
      <c r="D41" s="7" t="str">
        <v>Use of low voltage electrical systems</v>
      </c>
      <c r="E41" s="6" t="str">
        <v/>
      </c>
      <c r="F41" s="6" t="str">
        <f>SUMPRODUCT(--((G41:M41&lt;&gt;"")*( G41:M41&lt;&gt;0)))</f>
        <v/>
      </c>
      <c r="G41" s="6" t="str">
        <v/>
      </c>
      <c r="H41" s="6" t="str">
        <v/>
      </c>
      <c r="I41" s="6" t="str">
        <v/>
      </c>
      <c r="J41" s="6" t="str">
        <v/>
      </c>
      <c r="K41" s="6" t="str">
        <v/>
      </c>
      <c r="L41" s="6" t="str">
        <v/>
      </c>
      <c r="M41" s="6" t="str">
        <v/>
      </c>
    </row>
    <row r="42">
      <c r="A42" s="8" t="str">
        <v>MARC038 Operate main propulsion unit and auxiliary systems</v>
      </c>
      <c r="B42" s="9" t="str">
        <v>Knowledge Evidence</v>
      </c>
      <c r="C42" s="9" t="str">
        <v>K12</v>
      </c>
      <c r="D42" s="10" t="str">
        <v>What to do in the case of malfunctions and emergencies with propulsion machinery, auxiliary equipment and other mechanical equipment</v>
      </c>
      <c r="E42" s="9" t="str">
        <v/>
      </c>
      <c r="F42" s="9" t="str">
        <f>SUMPRODUCT(--((G42:M42&lt;&gt;"")*( G42:M42&lt;&gt;0)))</f>
        <v/>
      </c>
      <c r="G42" s="9" t="str">
        <v/>
      </c>
      <c r="H42" s="9" t="str">
        <v/>
      </c>
      <c r="I42" s="9" t="str">
        <v/>
      </c>
      <c r="J42" s="9" t="str">
        <v/>
      </c>
      <c r="K42" s="9" t="str">
        <v/>
      </c>
      <c r="L42" s="9" t="str">
        <v/>
      </c>
      <c r="M42" s="11" t="str">
        <v/>
      </c>
    </row>
    <row r="43" xml:space="preserve">
      <c r="A43" s="6" t="str">
        <v>MARC038 Operate main propulsion unit and auxiliary systems</v>
      </c>
      <c r="B43" s="6" t="str">
        <v>Knowledge Evidence</v>
      </c>
      <c r="C43" s="6" t="str">
        <v>K13</v>
      </c>
      <c r="D43" s="7" t="str" xml:space="preserve">
        <v xml:space="preserve">WHS/OHS requirements and safe work practices includes:
-	factors associated with the safe operation of propulsion and auxiliary equipment
-	hazards of refrigerant gases
-	potential hazards and risks involved with types of fuels or industrial gases, for example, petrol, diesel and liquefied petroleum gas (LPG)
-	preparing for the safe use of propulsion machinery, auxiliary equipment and other mechanical equipment.</v>
      </c>
      <c r="E43" s="6" t="str">
        <v/>
      </c>
      <c r="F43" s="6" t="str">
        <f>SUMPRODUCT(--((G43:M43&lt;&gt;"")*( G43:M43&lt;&gt;0)))</f>
        <v/>
      </c>
      <c r="G43" s="6" t="str">
        <v/>
      </c>
      <c r="H43" s="6" t="str">
        <v/>
      </c>
      <c r="I43" s="6" t="str">
        <v/>
      </c>
      <c r="J43" s="6" t="str">
        <v/>
      </c>
      <c r="K43" s="6" t="str">
        <v/>
      </c>
      <c r="L43" s="6" t="str">
        <v/>
      </c>
      <c r="M43" s="6" t="str">
        <v/>
      </c>
    </row>
    <row r="44">
      <c r="A44" s="8" t="str">
        <v>MARC038 Operate main propulsion unit and auxiliary systems</v>
      </c>
      <c r="B44" s="9" t="str">
        <v>Knowledge Evidence</v>
      </c>
      <c r="C44" s="9" t="str">
        <v>K14</v>
      </c>
      <c r="D44" s="10" t="str">
        <v>Ancillary equipment</v>
      </c>
      <c r="E44" s="9" t="str">
        <v/>
      </c>
      <c r="F44" s="9" t="str">
        <f>SUMPRODUCT(--((G44:M44&lt;&gt;"")*( G44:M44&lt;&gt;0)))</f>
        <v/>
      </c>
      <c r="G44" s="9" t="str">
        <v/>
      </c>
      <c r="H44" s="9" t="str">
        <v/>
      </c>
      <c r="I44" s="9" t="str">
        <v/>
      </c>
      <c r="J44" s="9" t="str">
        <v/>
      </c>
      <c r="K44" s="9" t="str">
        <v/>
      </c>
      <c r="L44" s="9" t="str">
        <v/>
      </c>
      <c r="M44" s="11" t="str">
        <v/>
      </c>
    </row>
    <row r="45">
      <c r="A45" s="6" t="str">
        <v>MARC038 Operate main propulsion unit and auxiliary systems</v>
      </c>
      <c r="B45" s="6" t="str">
        <v>Knowledge Evidence</v>
      </c>
      <c r="C45" s="6" t="str">
        <v>K15</v>
      </c>
      <c r="D45" s="7" t="str">
        <v>Bilge systems</v>
      </c>
      <c r="E45" s="6" t="str">
        <v/>
      </c>
      <c r="F45" s="6" t="str">
        <f>SUMPRODUCT(--((G45:M45&lt;&gt;"")*( G45:M45&lt;&gt;0)))</f>
        <v/>
      </c>
      <c r="G45" s="6" t="str">
        <v/>
      </c>
      <c r="H45" s="6" t="str">
        <v/>
      </c>
      <c r="I45" s="6" t="str">
        <v/>
      </c>
      <c r="J45" s="6" t="str">
        <v/>
      </c>
      <c r="K45" s="6" t="str">
        <v/>
      </c>
      <c r="L45" s="6" t="str">
        <v/>
      </c>
      <c r="M45" s="6" t="str">
        <v/>
      </c>
    </row>
    <row r="46">
      <c r="A46" s="8" t="str">
        <v>MARC038 Operate main propulsion unit and auxiliary systems</v>
      </c>
      <c r="B46" s="9" t="str">
        <v>Knowledge Evidence</v>
      </c>
      <c r="C46" s="9" t="str">
        <v>K16</v>
      </c>
      <c r="D46" s="10" t="str">
        <v>Cooling, lubricating and fuel systems</v>
      </c>
      <c r="E46" s="9" t="str">
        <v/>
      </c>
      <c r="F46" s="9" t="str">
        <f>SUMPRODUCT(--((G46:M46&lt;&gt;"")*( G46:M46&lt;&gt;0)))</f>
        <v/>
      </c>
      <c r="G46" s="9" t="str">
        <v/>
      </c>
      <c r="H46" s="9" t="str">
        <v/>
      </c>
      <c r="I46" s="9" t="str">
        <v/>
      </c>
      <c r="J46" s="9" t="str">
        <v/>
      </c>
      <c r="K46" s="9" t="str">
        <v/>
      </c>
      <c r="L46" s="9" t="str">
        <v/>
      </c>
      <c r="M46" s="11" t="str">
        <v/>
      </c>
    </row>
    <row r="47">
      <c r="A47" s="6" t="str">
        <v>MARC038 Operate main propulsion unit and auxiliary systems</v>
      </c>
      <c r="B47" s="6" t="str">
        <v>Knowledge Evidence</v>
      </c>
      <c r="C47" s="6" t="str">
        <v>K17</v>
      </c>
      <c r="D47" s="7" t="str">
        <v>Diesel engines</v>
      </c>
      <c r="E47" s="6" t="str">
        <v/>
      </c>
      <c r="F47" s="6" t="str">
        <f>SUMPRODUCT(--((G47:M47&lt;&gt;"")*( G47:M47&lt;&gt;0)))</f>
        <v/>
      </c>
      <c r="G47" s="6" t="str">
        <v/>
      </c>
      <c r="H47" s="6" t="str">
        <v/>
      </c>
      <c r="I47" s="6" t="str">
        <v/>
      </c>
      <c r="J47" s="6" t="str">
        <v/>
      </c>
      <c r="K47" s="6" t="str">
        <v/>
      </c>
      <c r="L47" s="6" t="str">
        <v/>
      </c>
      <c r="M47" s="6" t="str">
        <v/>
      </c>
    </row>
    <row r="48">
      <c r="A48" s="8" t="str">
        <v>MARC038 Operate main propulsion unit and auxiliary systems</v>
      </c>
      <c r="B48" s="9" t="str">
        <v>Knowledge Evidence</v>
      </c>
      <c r="C48" s="9" t="str">
        <v>K18</v>
      </c>
      <c r="D48" s="10" t="str">
        <v>Drive train assembly</v>
      </c>
      <c r="E48" s="9" t="str">
        <v/>
      </c>
      <c r="F48" s="9" t="str">
        <f>SUMPRODUCT(--((G48:M48&lt;&gt;"")*( G48:M48&lt;&gt;0)))</f>
        <v/>
      </c>
      <c r="G48" s="9" t="str">
        <v/>
      </c>
      <c r="H48" s="9" t="str">
        <v/>
      </c>
      <c r="I48" s="9" t="str">
        <v/>
      </c>
      <c r="J48" s="9" t="str">
        <v/>
      </c>
      <c r="K48" s="9" t="str">
        <v/>
      </c>
      <c r="L48" s="9" t="str">
        <v/>
      </c>
      <c r="M48" s="11" t="str">
        <v/>
      </c>
    </row>
    <row r="49">
      <c r="A49" s="6" t="str">
        <v>MARC038 Operate main propulsion unit and auxiliary systems</v>
      </c>
      <c r="B49" s="6" t="str">
        <v>Knowledge Evidence</v>
      </c>
      <c r="C49" s="6" t="str">
        <v>K19</v>
      </c>
      <c r="D49" s="7" t="str">
        <v>Low voltage electrical systems</v>
      </c>
      <c r="E49" s="6" t="str">
        <v/>
      </c>
      <c r="F49" s="6" t="str">
        <f>SUMPRODUCT(--((G49:M49&lt;&gt;"")*( G49:M49&lt;&gt;0)))</f>
        <v/>
      </c>
      <c r="G49" s="6" t="str">
        <v/>
      </c>
      <c r="H49" s="6" t="str">
        <v/>
      </c>
      <c r="I49" s="6" t="str">
        <v/>
      </c>
      <c r="J49" s="6" t="str">
        <v/>
      </c>
      <c r="K49" s="6" t="str">
        <v/>
      </c>
      <c r="L49" s="6" t="str">
        <v/>
      </c>
      <c r="M49" s="6" t="str">
        <v/>
      </c>
    </row>
    <row r="50">
      <c r="A50" s="8" t="str">
        <v>MARC038 Operate main propulsion unit and auxiliary systems</v>
      </c>
      <c r="B50" s="9" t="str">
        <v>Knowledge Evidence</v>
      </c>
      <c r="C50" s="9" t="str">
        <v>K20</v>
      </c>
      <c r="D50" s="10" t="str">
        <v>Machinery monitoring equipment</v>
      </c>
      <c r="E50" s="9" t="str">
        <v/>
      </c>
      <c r="F50" s="9" t="str">
        <f>SUMPRODUCT(--((G50:M50&lt;&gt;"")*( G50:M50&lt;&gt;0)))</f>
        <v/>
      </c>
      <c r="G50" s="9" t="str">
        <v/>
      </c>
      <c r="H50" s="9" t="str">
        <v/>
      </c>
      <c r="I50" s="9" t="str">
        <v/>
      </c>
      <c r="J50" s="9" t="str">
        <v/>
      </c>
      <c r="K50" s="9" t="str">
        <v/>
      </c>
      <c r="L50" s="9" t="str">
        <v/>
      </c>
      <c r="M50" s="11" t="str">
        <v/>
      </c>
    </row>
    <row r="51">
      <c r="A51" s="6" t="str">
        <v>MARC038 Operate main propulsion unit and auxiliary systems</v>
      </c>
      <c r="B51" s="6" t="str">
        <v>Knowledge Evidence</v>
      </c>
      <c r="C51" s="6" t="str">
        <v>K21</v>
      </c>
      <c r="D51" s="7" t="str">
        <v>Outboard engines</v>
      </c>
      <c r="E51" s="6" t="str">
        <v/>
      </c>
      <c r="F51" s="6" t="str">
        <f>SUMPRODUCT(--((G51:M51&lt;&gt;"")*( G51:M51&lt;&gt;0)))</f>
        <v/>
      </c>
      <c r="G51" s="6" t="str">
        <v/>
      </c>
      <c r="H51" s="6" t="str">
        <v/>
      </c>
      <c r="I51" s="6" t="str">
        <v/>
      </c>
      <c r="J51" s="6" t="str">
        <v/>
      </c>
      <c r="K51" s="6" t="str">
        <v/>
      </c>
      <c r="L51" s="6" t="str">
        <v/>
      </c>
      <c r="M51" s="6" t="str">
        <v/>
      </c>
    </row>
    <row r="52">
      <c r="A52" s="8" t="str">
        <v>MARC038 Operate main propulsion unit and auxiliary systems</v>
      </c>
      <c r="B52" s="9" t="str">
        <v>Knowledge Evidence</v>
      </c>
      <c r="C52" s="9" t="str">
        <v>K22</v>
      </c>
      <c r="D52" s="10" t="str">
        <v>Shore power leads and connections</v>
      </c>
      <c r="E52" s="9" t="str">
        <v/>
      </c>
      <c r="F52" s="9" t="str">
        <f>SUMPRODUCT(--((G52:M52&lt;&gt;"")*( G52:M52&lt;&gt;0)))</f>
        <v/>
      </c>
      <c r="G52" s="9" t="str">
        <v/>
      </c>
      <c r="H52" s="9" t="str">
        <v/>
      </c>
      <c r="I52" s="9" t="str">
        <v/>
      </c>
      <c r="J52" s="9" t="str">
        <v/>
      </c>
      <c r="K52" s="9" t="str">
        <v/>
      </c>
      <c r="L52" s="9" t="str">
        <v/>
      </c>
      <c r="M52" s="11" t="str">
        <v/>
      </c>
    </row>
    <row r="53">
      <c r="A53" s="6" t="str">
        <v>MARC038 Operate main propulsion unit and auxiliary systems</v>
      </c>
      <c r="B53" s="6" t="str">
        <v>Knowledge Evidence</v>
      </c>
      <c r="C53" s="6" t="str">
        <v>K23</v>
      </c>
      <c r="D53" s="7" t="str">
        <v>Steering gear</v>
      </c>
      <c r="E53" s="6" t="str">
        <v/>
      </c>
      <c r="F53" s="6" t="str">
        <f>SUMPRODUCT(--((G53:M53&lt;&gt;"")*( G53:M53&lt;&gt;0)))</f>
        <v/>
      </c>
      <c r="G53" s="6" t="str">
        <v/>
      </c>
      <c r="H53" s="6" t="str">
        <v/>
      </c>
      <c r="I53" s="6" t="str">
        <v/>
      </c>
      <c r="J53" s="6" t="str">
        <v/>
      </c>
      <c r="K53" s="6" t="str">
        <v/>
      </c>
      <c r="L53" s="6" t="str">
        <v/>
      </c>
      <c r="M53" s="6" t="str">
        <v/>
      </c>
    </row>
    <row r="54">
      <c r="A54" s="8" t="str">
        <v>MARC038 Operate main propulsion unit and auxiliary systems</v>
      </c>
      <c r="B54" s="9" t="str">
        <v>Knowledge Evidence</v>
      </c>
      <c r="C54" s="9" t="str">
        <v>K24</v>
      </c>
      <c r="D54" s="10" t="str">
        <v>Factors associated with the safe operation of propulsion and auxiliary equipment</v>
      </c>
      <c r="E54" s="9" t="str">
        <v/>
      </c>
      <c r="F54" s="9" t="str">
        <f>SUMPRODUCT(--((G54:M54&lt;&gt;"")*( G54:M54&lt;&gt;0)))</f>
        <v/>
      </c>
      <c r="G54" s="9" t="str">
        <v/>
      </c>
      <c r="H54" s="9" t="str">
        <v/>
      </c>
      <c r="I54" s="9" t="str">
        <v/>
      </c>
      <c r="J54" s="9" t="str">
        <v/>
      </c>
      <c r="K54" s="9" t="str">
        <v/>
      </c>
      <c r="L54" s="9" t="str">
        <v/>
      </c>
      <c r="M54" s="11" t="str">
        <v/>
      </c>
    </row>
    <row r="55">
      <c r="A55" s="6" t="str">
        <v>MARC038 Operate main propulsion unit and auxiliary systems</v>
      </c>
      <c r="B55" s="6" t="str">
        <v>Knowledge Evidence</v>
      </c>
      <c r="C55" s="6" t="str">
        <v>K25</v>
      </c>
      <c r="D55" s="7" t="str">
        <v>Hazards of refrigerant gases</v>
      </c>
      <c r="E55" s="6" t="str">
        <v/>
      </c>
      <c r="F55" s="6" t="str">
        <f>SUMPRODUCT(--((G55:M55&lt;&gt;"")*( G55:M55&lt;&gt;0)))</f>
        <v/>
      </c>
      <c r="G55" s="6" t="str">
        <v/>
      </c>
      <c r="H55" s="6" t="str">
        <v/>
      </c>
      <c r="I55" s="6" t="str">
        <v/>
      </c>
      <c r="J55" s="6" t="str">
        <v/>
      </c>
      <c r="K55" s="6" t="str">
        <v/>
      </c>
      <c r="L55" s="6" t="str">
        <v/>
      </c>
      <c r="M55" s="6" t="str">
        <v/>
      </c>
    </row>
    <row r="56">
      <c r="A56" s="8" t="str">
        <v>MARC038 Operate main propulsion unit and auxiliary systems</v>
      </c>
      <c r="B56" s="9" t="str">
        <v>Knowledge Evidence</v>
      </c>
      <c r="C56" s="9" t="str">
        <v>K26</v>
      </c>
      <c r="D56" s="10" t="str">
        <v>Potential hazards and risks involved with types of fuels or industrial gases, for example, petrol, diesel and liquefied petroleum gas (LPG)</v>
      </c>
      <c r="E56" s="9" t="str">
        <v/>
      </c>
      <c r="F56" s="9" t="str">
        <f>SUMPRODUCT(--((G56:M56&lt;&gt;"")*( G56:M56&lt;&gt;0)))</f>
        <v/>
      </c>
      <c r="G56" s="9" t="str">
        <v/>
      </c>
      <c r="H56" s="9" t="str">
        <v/>
      </c>
      <c r="I56" s="9" t="str">
        <v/>
      </c>
      <c r="J56" s="9" t="str">
        <v/>
      </c>
      <c r="K56" s="9" t="str">
        <v/>
      </c>
      <c r="L56" s="9" t="str">
        <v/>
      </c>
      <c r="M56" s="11" t="str">
        <v/>
      </c>
    </row>
    <row r="57">
      <c r="A57" s="6" t="str">
        <v>MARC038 Operate main propulsion unit and auxiliary systems</v>
      </c>
      <c r="B57" s="6" t="str">
        <v>Knowledge Evidence</v>
      </c>
      <c r="C57" s="6" t="str">
        <v>K27</v>
      </c>
      <c r="D57" s="7" t="str">
        <v>Preparing for the safe use of propulsion machinery, auxiliary equipment and other mechanical equipment.</v>
      </c>
      <c r="E57" s="6" t="str">
        <v/>
      </c>
      <c r="F57" s="6" t="str">
        <f>SUMPRODUCT(--((G57:M57&lt;&gt;"")*( G57:M57&lt;&gt;0)))</f>
        <v/>
      </c>
      <c r="G57" s="6" t="str">
        <v/>
      </c>
      <c r="H57" s="6" t="str">
        <v/>
      </c>
      <c r="I57" s="6" t="str">
        <v/>
      </c>
      <c r="J57" s="6" t="str">
        <v/>
      </c>
      <c r="K57" s="6" t="str">
        <v/>
      </c>
      <c r="L57" s="6" t="str">
        <v/>
      </c>
      <c r="M57" s="6" t="str">
        <v/>
      </c>
    </row>
    <row r="58">
      <c r="A58" s="12" t="str">
        <v/>
      </c>
      <c r="B58" s="12" t="str">
        <v/>
      </c>
      <c r="C58" s="12" t="str">
        <v/>
      </c>
      <c r="D58" s="12" t="str">
        <v/>
      </c>
      <c r="E58" s="12" t="str">
        <v/>
      </c>
      <c r="F58" s="12" t="str">
        <f>SUMPRODUCT(--((G58:M58&lt;&gt;"")*( G58:M58&lt;&gt;0)))</f>
        <v/>
      </c>
      <c r="G58" s="12" t="str">
        <v/>
      </c>
      <c r="H58" s="12" t="str">
        <v/>
      </c>
      <c r="I58" s="12" t="str">
        <v/>
      </c>
      <c r="J58" s="12" t="str">
        <v/>
      </c>
      <c r="K58" s="12" t="str">
        <v/>
      </c>
      <c r="L58" s="12" t="str">
        <v/>
      </c>
      <c r="M58" s="12" t="str">
        <v/>
      </c>
    </row>
    <row r="59">
      <c r="A59" s="6" t="str">
        <v>MARC040 Manage fuel systems</v>
      </c>
      <c r="B59" s="6" t="str">
        <v>1. Plan refuelling</v>
      </c>
      <c r="C59" s="6" t="str">
        <v>1.1</v>
      </c>
      <c r="D59" s="7" t="str">
        <v>Fuel tanks are dipped to establish current level of fuel</v>
      </c>
      <c r="E59" s="6" t="str">
        <v/>
      </c>
      <c r="F59" s="6" t="str">
        <f>SUMPRODUCT(--((G59:M59&lt;&gt;"")*( G59:M59&lt;&gt;0)))</f>
        <v/>
      </c>
      <c r="G59" s="6" t="str">
        <v/>
      </c>
      <c r="H59" s="6" t="str">
        <v/>
      </c>
      <c r="I59" s="6" t="str">
        <v/>
      </c>
      <c r="J59" s="6" t="str">
        <v/>
      </c>
      <c r="K59" s="6" t="str">
        <v/>
      </c>
      <c r="L59" s="6" t="str">
        <v/>
      </c>
      <c r="M59" s="6" t="str">
        <v/>
      </c>
    </row>
    <row r="60">
      <c r="A60" s="8" t="str">
        <v>MARC040 Manage fuel systems</v>
      </c>
      <c r="B60" s="9" t="str">
        <v>1. Plan refuelling</v>
      </c>
      <c r="C60" s="9" t="str">
        <v>1.2</v>
      </c>
      <c r="D60" s="10" t="str">
        <v>Amount of fuel on board vessel is calculated and positioning of fuel is determined</v>
      </c>
      <c r="E60" s="9" t="str">
        <v/>
      </c>
      <c r="F60" s="9" t="str">
        <f>SUMPRODUCT(--((G60:M60&lt;&gt;"")*( G60:M60&lt;&gt;0)))</f>
        <v/>
      </c>
      <c r="G60" s="9" t="str">
        <v/>
      </c>
      <c r="H60" s="9" t="str">
        <v/>
      </c>
      <c r="I60" s="9" t="str">
        <v/>
      </c>
      <c r="J60" s="9" t="str">
        <v/>
      </c>
      <c r="K60" s="9" t="str">
        <v/>
      </c>
      <c r="L60" s="9" t="str">
        <v/>
      </c>
      <c r="M60" s="11" t="str">
        <v/>
      </c>
    </row>
    <row r="61">
      <c r="A61" s="6" t="str">
        <v>MARC040 Manage fuel systems</v>
      </c>
      <c r="B61" s="6" t="str">
        <v>1. Plan refuelling</v>
      </c>
      <c r="C61" s="6" t="str">
        <v>1.3</v>
      </c>
      <c r="D61" s="7" t="str">
        <v>Impact of refuelling on vessel safety is determined</v>
      </c>
      <c r="E61" s="6" t="str">
        <v/>
      </c>
      <c r="F61" s="6" t="str">
        <f>SUMPRODUCT(--((G61:M61&lt;&gt;"")*( G61:M61&lt;&gt;0)))</f>
        <v/>
      </c>
      <c r="G61" s="6" t="str">
        <v/>
      </c>
      <c r="H61" s="6" t="str">
        <v/>
      </c>
      <c r="I61" s="6" t="str">
        <v/>
      </c>
      <c r="J61" s="6" t="str">
        <v/>
      </c>
      <c r="K61" s="6" t="str">
        <v/>
      </c>
      <c r="L61" s="6" t="str">
        <v/>
      </c>
      <c r="M61" s="6" t="str">
        <v/>
      </c>
    </row>
    <row r="62">
      <c r="A62" s="8" t="str">
        <v>MARC040 Manage fuel systems</v>
      </c>
      <c r="B62" s="9" t="str">
        <v>1. Plan refuelling</v>
      </c>
      <c r="C62" s="9" t="str">
        <v>1.4</v>
      </c>
      <c r="D62" s="10" t="str">
        <v>Fuel is ordered according to organisational procedures</v>
      </c>
      <c r="E62" s="9" t="str">
        <v/>
      </c>
      <c r="F62" s="9" t="str">
        <f>SUMPRODUCT(--((G62:M62&lt;&gt;"")*( G62:M62&lt;&gt;0)))</f>
        <v/>
      </c>
      <c r="G62" s="9" t="str">
        <v/>
      </c>
      <c r="H62" s="9" t="str">
        <v/>
      </c>
      <c r="I62" s="9" t="str">
        <v/>
      </c>
      <c r="J62" s="9" t="str">
        <v/>
      </c>
      <c r="K62" s="9" t="str">
        <v/>
      </c>
      <c r="L62" s="9" t="str">
        <v/>
      </c>
      <c r="M62" s="11" t="str">
        <v/>
      </c>
    </row>
    <row r="63">
      <c r="A63" s="6" t="str">
        <v>MARC040 Manage fuel systems</v>
      </c>
      <c r="B63" s="6" t="str">
        <v>2. Prepare vessel for refuelling</v>
      </c>
      <c r="C63" s="6" t="str">
        <v>2.1</v>
      </c>
      <c r="D63" s="7" t="str">
        <v>Vessel is positioned and secured for refuelling</v>
      </c>
      <c r="E63" s="6" t="str">
        <v/>
      </c>
      <c r="F63" s="6" t="str">
        <f>SUMPRODUCT(--((G63:M63&lt;&gt;"")*( G63:M63&lt;&gt;0)))</f>
        <v/>
      </c>
      <c r="G63" s="6" t="str">
        <v/>
      </c>
      <c r="H63" s="6" t="str">
        <v/>
      </c>
      <c r="I63" s="6" t="str">
        <v/>
      </c>
      <c r="J63" s="6" t="str">
        <v/>
      </c>
      <c r="K63" s="6" t="str">
        <v/>
      </c>
      <c r="L63" s="6" t="str">
        <v/>
      </c>
      <c r="M63" s="6" t="str">
        <v/>
      </c>
    </row>
    <row r="64">
      <c r="A64" s="8" t="str">
        <v>MARC040 Manage fuel systems</v>
      </c>
      <c r="B64" s="9" t="str">
        <v>2. Prepare vessel for refuelling</v>
      </c>
      <c r="C64" s="9" t="str">
        <v>2.2</v>
      </c>
      <c r="D64" s="10" t="str">
        <v>Refuelling equipment is correctly deployed according to organisational procedures</v>
      </c>
      <c r="E64" s="9" t="str">
        <v/>
      </c>
      <c r="F64" s="9" t="str">
        <f>SUMPRODUCT(--((G64:M64&lt;&gt;"")*( G64:M64&lt;&gt;0)))</f>
        <v/>
      </c>
      <c r="G64" s="9" t="str">
        <v/>
      </c>
      <c r="H64" s="9" t="str">
        <v/>
      </c>
      <c r="I64" s="9" t="str">
        <v/>
      </c>
      <c r="J64" s="9" t="str">
        <v/>
      </c>
      <c r="K64" s="9" t="str">
        <v/>
      </c>
      <c r="L64" s="9" t="str">
        <v/>
      </c>
      <c r="M64" s="11" t="str">
        <v/>
      </c>
    </row>
    <row r="65">
      <c r="A65" s="6" t="str">
        <v>MARC040 Manage fuel systems</v>
      </c>
      <c r="B65" s="6" t="str">
        <v>2. Prepare vessel for refuelling</v>
      </c>
      <c r="C65" s="6" t="str">
        <v>2.3</v>
      </c>
      <c r="D65" s="7" t="str">
        <v>Communication between all people involved in refuelling procedures is established</v>
      </c>
      <c r="E65" s="6" t="str">
        <v/>
      </c>
      <c r="F65" s="6" t="str">
        <f>SUMPRODUCT(--((G65:M65&lt;&gt;"")*( G65:M65&lt;&gt;0)))</f>
        <v/>
      </c>
      <c r="G65" s="6" t="str">
        <v/>
      </c>
      <c r="H65" s="6" t="str">
        <v/>
      </c>
      <c r="I65" s="6" t="str">
        <v/>
      </c>
      <c r="J65" s="6" t="str">
        <v/>
      </c>
      <c r="K65" s="6" t="str">
        <v/>
      </c>
      <c r="L65" s="6" t="str">
        <v/>
      </c>
      <c r="M65" s="6" t="str">
        <v/>
      </c>
    </row>
    <row r="66">
      <c r="A66" s="8" t="str">
        <v>MARC040 Manage fuel systems</v>
      </c>
      <c r="B66" s="9" t="str">
        <v>2. Prepare vessel for refuelling</v>
      </c>
      <c r="C66" s="9" t="str">
        <v>2.4</v>
      </c>
      <c r="D66" s="10" t="str">
        <v>Tank valves are opened as necessary and refuelling operations are performed according to organisational procedures and regulatory requirements</v>
      </c>
      <c r="E66" s="9" t="str">
        <v/>
      </c>
      <c r="F66" s="9" t="str">
        <f>SUMPRODUCT(--((G66:M66&lt;&gt;"")*( G66:M66&lt;&gt;0)))</f>
        <v/>
      </c>
      <c r="G66" s="9" t="str">
        <v/>
      </c>
      <c r="H66" s="9" t="str">
        <v/>
      </c>
      <c r="I66" s="9" t="str">
        <v/>
      </c>
      <c r="J66" s="9" t="str">
        <v/>
      </c>
      <c r="K66" s="9" t="str">
        <v/>
      </c>
      <c r="L66" s="9" t="str">
        <v/>
      </c>
      <c r="M66" s="11" t="str">
        <v/>
      </c>
    </row>
    <row r="67">
      <c r="A67" s="6" t="str">
        <v>MARC040 Manage fuel systems</v>
      </c>
      <c r="B67" s="6" t="str">
        <v>2. Prepare vessel for refuelling</v>
      </c>
      <c r="C67" s="6" t="str">
        <v>2.5</v>
      </c>
      <c r="D67" s="7" t="str">
        <v>Tanks are dipped to ensure correct amount of fuel has been received</v>
      </c>
      <c r="E67" s="6" t="str">
        <v/>
      </c>
      <c r="F67" s="6" t="str">
        <f>SUMPRODUCT(--((G67:M67&lt;&gt;"")*( G67:M67&lt;&gt;0)))</f>
        <v/>
      </c>
      <c r="G67" s="6" t="str">
        <v/>
      </c>
      <c r="H67" s="6" t="str">
        <v/>
      </c>
      <c r="I67" s="6" t="str">
        <v/>
      </c>
      <c r="J67" s="6" t="str">
        <v/>
      </c>
      <c r="K67" s="6" t="str">
        <v/>
      </c>
      <c r="L67" s="6" t="str">
        <v/>
      </c>
      <c r="M67" s="6" t="str">
        <v/>
      </c>
    </row>
    <row r="68">
      <c r="A68" s="8" t="str">
        <v>MARC040 Manage fuel systems</v>
      </c>
      <c r="B68" s="9" t="str">
        <v>3. Complete refuelling operations</v>
      </c>
      <c r="C68" s="9" t="str">
        <v>3.1</v>
      </c>
      <c r="D68" s="10" t="str">
        <v>Shutdown procedures are conducted according to organisational procedures</v>
      </c>
      <c r="E68" s="9" t="str">
        <v/>
      </c>
      <c r="F68" s="9" t="str">
        <f>SUMPRODUCT(--((G68:M68&lt;&gt;"")*( G68:M68&lt;&gt;0)))</f>
        <v/>
      </c>
      <c r="G68" s="9" t="str">
        <v/>
      </c>
      <c r="H68" s="9" t="str">
        <v/>
      </c>
      <c r="I68" s="9" t="str">
        <v/>
      </c>
      <c r="J68" s="9" t="str">
        <v/>
      </c>
      <c r="K68" s="9" t="str">
        <v/>
      </c>
      <c r="L68" s="9" t="str">
        <v/>
      </c>
      <c r="M68" s="11" t="str">
        <v/>
      </c>
    </row>
    <row r="69">
      <c r="A69" s="6" t="str">
        <v>MARC040 Manage fuel systems</v>
      </c>
      <c r="B69" s="6" t="str">
        <v>3. Complete refuelling operations</v>
      </c>
      <c r="C69" s="6" t="str">
        <v>3.2</v>
      </c>
      <c r="D69" s="7" t="str">
        <v>Refuelling equipment is secured according to organisational procedures</v>
      </c>
      <c r="E69" s="6" t="str">
        <v/>
      </c>
      <c r="F69" s="6" t="str">
        <f>SUMPRODUCT(--((G69:M69&lt;&gt;"")*( G69:M69&lt;&gt;0)))</f>
        <v/>
      </c>
      <c r="G69" s="6" t="str">
        <v/>
      </c>
      <c r="H69" s="6" t="str">
        <v/>
      </c>
      <c r="I69" s="6" t="str">
        <v/>
      </c>
      <c r="J69" s="6" t="str">
        <v/>
      </c>
      <c r="K69" s="6" t="str">
        <v/>
      </c>
      <c r="L69" s="6" t="str">
        <v/>
      </c>
      <c r="M69" s="6" t="str">
        <v/>
      </c>
    </row>
    <row r="70">
      <c r="A70" s="8" t="str">
        <v>MARC040 Manage fuel systems</v>
      </c>
      <c r="B70" s="9" t="str">
        <v>3. Complete refuelling operations</v>
      </c>
      <c r="C70" s="9" t="str">
        <v>3.3</v>
      </c>
      <c r="D70" s="10" t="str">
        <v>Refuelling records are completed according to organisational procedures and regulatory requirements</v>
      </c>
      <c r="E70" s="9" t="str">
        <v/>
      </c>
      <c r="F70" s="9" t="str">
        <f>SUMPRODUCT(--((G70:M70&lt;&gt;"")*( G70:M70&lt;&gt;0)))</f>
        <v/>
      </c>
      <c r="G70" s="9" t="str">
        <v/>
      </c>
      <c r="H70" s="9" t="str">
        <v/>
      </c>
      <c r="I70" s="9" t="str">
        <v/>
      </c>
      <c r="J70" s="9" t="str">
        <v/>
      </c>
      <c r="K70" s="9" t="str">
        <v/>
      </c>
      <c r="L70" s="9" t="str">
        <v/>
      </c>
      <c r="M70" s="11" t="str">
        <v/>
      </c>
    </row>
    <row r="71">
      <c r="A71" s="6" t="str">
        <v>MARC040 Manage fuel systems</v>
      </c>
      <c r="B71" s="6" t="str">
        <v>3. Complete refuelling operations</v>
      </c>
      <c r="C71" s="6" t="str">
        <v>3.4</v>
      </c>
      <c r="D71" s="7" t="str">
        <v>Malfunctions, faults, irregular performance or damage to refuelling equipment are recorded according to organisational procedures</v>
      </c>
      <c r="E71" s="6" t="str">
        <v/>
      </c>
      <c r="F71" s="6" t="str">
        <f>SUMPRODUCT(--((G71:M71&lt;&gt;"")*( G71:M71&lt;&gt;0)))</f>
        <v/>
      </c>
      <c r="G71" s="6" t="str">
        <v/>
      </c>
      <c r="H71" s="6" t="str">
        <v/>
      </c>
      <c r="I71" s="6" t="str">
        <v/>
      </c>
      <c r="J71" s="6" t="str">
        <v/>
      </c>
      <c r="K71" s="6" t="str">
        <v/>
      </c>
      <c r="L71" s="6" t="str">
        <v/>
      </c>
      <c r="M71" s="6" t="str">
        <v/>
      </c>
    </row>
    <row r="72">
      <c r="A72" s="8" t="str">
        <v>MARC040 Manage fuel systems</v>
      </c>
      <c r="B72" s="9" t="str">
        <v>4. Manage an emergency</v>
      </c>
      <c r="C72" s="9" t="str">
        <v>4.1</v>
      </c>
      <c r="D72" s="10" t="str">
        <v>Appropriate response is made to emergency situation according to organisational procedures</v>
      </c>
      <c r="E72" s="9" t="str">
        <v/>
      </c>
      <c r="F72" s="9" t="str">
        <f>SUMPRODUCT(--((G72:M72&lt;&gt;"")*( G72:M72&lt;&gt;0)))</f>
        <v/>
      </c>
      <c r="G72" s="9" t="str">
        <v/>
      </c>
      <c r="H72" s="9" t="str">
        <v/>
      </c>
      <c r="I72" s="9" t="str">
        <v/>
      </c>
      <c r="J72" s="9" t="str">
        <v/>
      </c>
      <c r="K72" s="9" t="str">
        <v/>
      </c>
      <c r="L72" s="9" t="str">
        <v/>
      </c>
      <c r="M72" s="11" t="str">
        <v/>
      </c>
    </row>
    <row r="73">
      <c r="A73" s="6" t="str">
        <v>MARC040 Manage fuel systems</v>
      </c>
      <c r="B73" s="6" t="str">
        <v>4. Manage an emergency</v>
      </c>
      <c r="C73" s="6" t="str">
        <v>4.2</v>
      </c>
      <c r="D73" s="7" t="str">
        <v>Personnel are correctly notified and their activities are managed to ensure their safety according to organisational procedures</v>
      </c>
      <c r="E73" s="6" t="str">
        <v/>
      </c>
      <c r="F73" s="6" t="str">
        <f>SUMPRODUCT(--((G73:M73&lt;&gt;"")*( G73:M73&lt;&gt;0)))</f>
        <v/>
      </c>
      <c r="G73" s="6" t="str">
        <v/>
      </c>
      <c r="H73" s="6" t="str">
        <v/>
      </c>
      <c r="I73" s="6" t="str">
        <v/>
      </c>
      <c r="J73" s="6" t="str">
        <v/>
      </c>
      <c r="K73" s="6" t="str">
        <v/>
      </c>
      <c r="L73" s="6" t="str">
        <v/>
      </c>
      <c r="M73" s="6" t="str">
        <v/>
      </c>
    </row>
    <row r="74">
      <c r="A74" s="8" t="str">
        <v>MARC040 Manage fuel systems</v>
      </c>
      <c r="B74" s="9" t="str">
        <v>4. Manage an emergency</v>
      </c>
      <c r="C74" s="9" t="str">
        <v>4.3</v>
      </c>
      <c r="D74" s="10" t="str">
        <v>Waste containment measures are implemented to protect the environment</v>
      </c>
      <c r="E74" s="9" t="str">
        <v/>
      </c>
      <c r="F74" s="9" t="str">
        <f>SUMPRODUCT(--((G74:M74&lt;&gt;"")*( G74:M74&lt;&gt;0)))</f>
        <v/>
      </c>
      <c r="G74" s="9" t="str">
        <v/>
      </c>
      <c r="H74" s="9" t="str">
        <v/>
      </c>
      <c r="I74" s="9" t="str">
        <v/>
      </c>
      <c r="J74" s="9" t="str">
        <v/>
      </c>
      <c r="K74" s="9" t="str">
        <v/>
      </c>
      <c r="L74" s="9" t="str">
        <v/>
      </c>
      <c r="M74" s="11" t="str">
        <v/>
      </c>
    </row>
    <row r="75">
      <c r="A75" s="6" t="str">
        <v>MARC040 Manage fuel systems</v>
      </c>
      <c r="B75" s="6" t="str">
        <v>4. Manage an emergency</v>
      </c>
      <c r="C75" s="6" t="str">
        <v>4.4</v>
      </c>
      <c r="D75" s="7" t="str">
        <v>Appropriate authorities are notified when required</v>
      </c>
      <c r="E75" s="6" t="str">
        <v/>
      </c>
      <c r="F75" s="6" t="str">
        <f>SUMPRODUCT(--((G75:M75&lt;&gt;"")*( G75:M75&lt;&gt;0)))</f>
        <v/>
      </c>
      <c r="G75" s="6" t="str">
        <v/>
      </c>
      <c r="H75" s="6" t="str">
        <v/>
      </c>
      <c r="I75" s="6" t="str">
        <v/>
      </c>
      <c r="J75" s="6" t="str">
        <v/>
      </c>
      <c r="K75" s="6" t="str">
        <v/>
      </c>
      <c r="L75" s="6" t="str">
        <v/>
      </c>
      <c r="M75" s="6" t="str">
        <v/>
      </c>
    </row>
    <row r="76">
      <c r="A76" s="8" t="str">
        <v>MARC040 Manage fuel systems</v>
      </c>
      <c r="B76" s="9" t="str">
        <v>4. Manage an emergency</v>
      </c>
      <c r="C76" s="9" t="str">
        <v>4.5</v>
      </c>
      <c r="D76" s="10" t="str">
        <v>Incident is recorded according to regulatory requirements and organisational procedures</v>
      </c>
      <c r="E76" s="9" t="str">
        <v/>
      </c>
      <c r="F76" s="9" t="str">
        <f>SUMPRODUCT(--((G76:M76&lt;&gt;"")*( G76:M76&lt;&gt;0)))</f>
        <v/>
      </c>
      <c r="G76" s="9" t="str">
        <v/>
      </c>
      <c r="H76" s="9" t="str">
        <v/>
      </c>
      <c r="I76" s="9" t="str">
        <v/>
      </c>
      <c r="J76" s="9" t="str">
        <v/>
      </c>
      <c r="K76" s="9" t="str">
        <v/>
      </c>
      <c r="L76" s="9" t="str">
        <v/>
      </c>
      <c r="M76" s="11" t="str">
        <v/>
      </c>
    </row>
    <row r="77">
      <c r="A77" s="6" t="str">
        <v>MARC040 Manage fuel systems</v>
      </c>
      <c r="B77" s="6" t="str">
        <v>Performance Evidence</v>
      </c>
      <c r="C77" s="6" t="str">
        <v>P1</v>
      </c>
      <c r="D77" s="7" t="str">
        <v>Applying work health and safety (WHS)/occupational health and safety (OHS) and pollution control, legislation and policies</v>
      </c>
      <c r="E77" s="6" t="str">
        <v/>
      </c>
      <c r="F77" s="6" t="str">
        <f>SUMPRODUCT(--((G77:M77&lt;&gt;"")*( G77:M77&lt;&gt;0)))</f>
        <v/>
      </c>
      <c r="G77" s="6" t="str">
        <v/>
      </c>
      <c r="H77" s="6" t="str">
        <v/>
      </c>
      <c r="I77" s="6" t="str">
        <v/>
      </c>
      <c r="J77" s="6" t="str">
        <v/>
      </c>
      <c r="K77" s="6" t="str">
        <v/>
      </c>
      <c r="L77" s="6" t="str">
        <v/>
      </c>
      <c r="M77" s="6" t="str">
        <v/>
      </c>
    </row>
    <row r="78">
      <c r="A78" s="8" t="str">
        <v>MARC040 Manage fuel systems</v>
      </c>
      <c r="B78" s="9" t="str">
        <v>Performance Evidence</v>
      </c>
      <c r="C78" s="9" t="str">
        <v>P2</v>
      </c>
      <c r="D78" s="10" t="str">
        <v>Carrying out accurate and reliable calculations dealing with bunkering capacity, consumption of fuel, speed and range of vessel, volumes and conversion of volumes to litres</v>
      </c>
      <c r="E78" s="9" t="str">
        <v/>
      </c>
      <c r="F78" s="9" t="str">
        <f>SUMPRODUCT(--((G78:M78&lt;&gt;"")*( G78:M78&lt;&gt;0)))</f>
        <v/>
      </c>
      <c r="G78" s="9" t="str">
        <v/>
      </c>
      <c r="H78" s="9" t="str">
        <v/>
      </c>
      <c r="I78" s="9" t="str">
        <v/>
      </c>
      <c r="J78" s="9" t="str">
        <v/>
      </c>
      <c r="K78" s="9" t="str">
        <v/>
      </c>
      <c r="L78" s="9" t="str">
        <v/>
      </c>
      <c r="M78" s="11" t="str">
        <v/>
      </c>
    </row>
    <row r="79">
      <c r="A79" s="6" t="str">
        <v>MARC040 Manage fuel systems</v>
      </c>
      <c r="B79" s="6" t="str">
        <v>Performance Evidence</v>
      </c>
      <c r="C79" s="6" t="str">
        <v>P3</v>
      </c>
      <c r="D79" s="7" t="str">
        <v>Completing required records</v>
      </c>
      <c r="E79" s="6" t="str">
        <v/>
      </c>
      <c r="F79" s="6" t="str">
        <f>SUMPRODUCT(--((G79:M79&lt;&gt;"")*( G79:M79&lt;&gt;0)))</f>
        <v/>
      </c>
      <c r="G79" s="6" t="str">
        <v/>
      </c>
      <c r="H79" s="6" t="str">
        <v/>
      </c>
      <c r="I79" s="6" t="str">
        <v/>
      </c>
      <c r="J79" s="6" t="str">
        <v/>
      </c>
      <c r="K79" s="6" t="str">
        <v/>
      </c>
      <c r="L79" s="6" t="str">
        <v/>
      </c>
      <c r="M79" s="6" t="str">
        <v/>
      </c>
    </row>
    <row r="80">
      <c r="A80" s="8" t="str">
        <v>MARC040 Manage fuel systems</v>
      </c>
      <c r="B80" s="9" t="str">
        <v>Performance Evidence</v>
      </c>
      <c r="C80" s="9" t="str">
        <v>P4</v>
      </c>
      <c r="D80" s="10" t="str">
        <v>Conducting refuelling completion procedures, including communications with fuel supplier and valve closure</v>
      </c>
      <c r="E80" s="9" t="str">
        <v/>
      </c>
      <c r="F80" s="9" t="str">
        <f>SUMPRODUCT(--((G80:M80&lt;&gt;"")*( G80:M80&lt;&gt;0)))</f>
        <v/>
      </c>
      <c r="G80" s="9" t="str">
        <v/>
      </c>
      <c r="H80" s="9" t="str">
        <v/>
      </c>
      <c r="I80" s="9" t="str">
        <v/>
      </c>
      <c r="J80" s="9" t="str">
        <v/>
      </c>
      <c r="K80" s="9" t="str">
        <v/>
      </c>
      <c r="L80" s="9" t="str">
        <v/>
      </c>
      <c r="M80" s="11" t="str">
        <v/>
      </c>
    </row>
    <row r="81">
      <c r="A81" s="6" t="str">
        <v>MARC040 Manage fuel systems</v>
      </c>
      <c r="B81" s="6" t="str">
        <v>Performance Evidence</v>
      </c>
      <c r="C81" s="6" t="str">
        <v>P5</v>
      </c>
      <c r="D81" s="7" t="str">
        <v>Managing refuelling to ensure safety of operation and avoid pollution of marine environment</v>
      </c>
      <c r="E81" s="6" t="str">
        <v/>
      </c>
      <c r="F81" s="6" t="str">
        <f>SUMPRODUCT(--((G81:M81&lt;&gt;"")*( G81:M81&lt;&gt;0)))</f>
        <v/>
      </c>
      <c r="G81" s="6" t="str">
        <v/>
      </c>
      <c r="H81" s="6" t="str">
        <v/>
      </c>
      <c r="I81" s="6" t="str">
        <v/>
      </c>
      <c r="J81" s="6" t="str">
        <v/>
      </c>
      <c r="K81" s="6" t="str">
        <v/>
      </c>
      <c r="L81" s="6" t="str">
        <v/>
      </c>
      <c r="M81" s="6" t="str">
        <v/>
      </c>
    </row>
    <row r="82">
      <c r="A82" s="8" t="str">
        <v>MARC040 Manage fuel systems</v>
      </c>
      <c r="B82" s="9" t="str">
        <v>Performance Evidence</v>
      </c>
      <c r="C82" s="9" t="str">
        <v>P6</v>
      </c>
      <c r="D82" s="10" t="str">
        <v>Measuring tank levels</v>
      </c>
      <c r="E82" s="9" t="str">
        <v/>
      </c>
      <c r="F82" s="9" t="str">
        <f>SUMPRODUCT(--((G82:M82&lt;&gt;"")*( G82:M82&lt;&gt;0)))</f>
        <v/>
      </c>
      <c r="G82" s="9" t="str">
        <v/>
      </c>
      <c r="H82" s="9" t="str">
        <v/>
      </c>
      <c r="I82" s="9" t="str">
        <v/>
      </c>
      <c r="J82" s="9" t="str">
        <v/>
      </c>
      <c r="K82" s="9" t="str">
        <v/>
      </c>
      <c r="L82" s="9" t="str">
        <v/>
      </c>
      <c r="M82" s="11" t="str">
        <v/>
      </c>
    </row>
    <row r="83">
      <c r="A83" s="6" t="str">
        <v>MARC040 Manage fuel systems</v>
      </c>
      <c r="B83" s="6" t="str">
        <v>Performance Evidence</v>
      </c>
      <c r="C83" s="6" t="str">
        <v>P7</v>
      </c>
      <c r="D83" s="7" t="str">
        <v>Recognising faulty equipment and taking appropriate actions</v>
      </c>
      <c r="E83" s="6" t="str">
        <v/>
      </c>
      <c r="F83" s="6" t="str">
        <f>SUMPRODUCT(--((G83:M83&lt;&gt;"")*( G83:M83&lt;&gt;0)))</f>
        <v/>
      </c>
      <c r="G83" s="6" t="str">
        <v/>
      </c>
      <c r="H83" s="6" t="str">
        <v/>
      </c>
      <c r="I83" s="6" t="str">
        <v/>
      </c>
      <c r="J83" s="6" t="str">
        <v/>
      </c>
      <c r="K83" s="6" t="str">
        <v/>
      </c>
      <c r="L83" s="6" t="str">
        <v/>
      </c>
      <c r="M83" s="6" t="str">
        <v/>
      </c>
    </row>
    <row r="84">
      <c r="A84" s="8" t="str">
        <v>MARC040 Manage fuel systems</v>
      </c>
      <c r="B84" s="9" t="str">
        <v>Performance Evidence</v>
      </c>
      <c r="C84" s="9" t="str">
        <v>P8</v>
      </c>
      <c r="D84" s="10" t="str">
        <v>Recognising problems and hazards during refuelling operations and taking appropriate actions</v>
      </c>
      <c r="E84" s="9" t="str">
        <v/>
      </c>
      <c r="F84" s="9" t="str">
        <f>SUMPRODUCT(--((G84:M84&lt;&gt;"")*( G84:M84&lt;&gt;0)))</f>
        <v/>
      </c>
      <c r="G84" s="9" t="str">
        <v/>
      </c>
      <c r="H84" s="9" t="str">
        <v/>
      </c>
      <c r="I84" s="9" t="str">
        <v/>
      </c>
      <c r="J84" s="9" t="str">
        <v/>
      </c>
      <c r="K84" s="9" t="str">
        <v/>
      </c>
      <c r="L84" s="9" t="str">
        <v/>
      </c>
      <c r="M84" s="11" t="str">
        <v/>
      </c>
    </row>
    <row r="85">
      <c r="A85" s="6" t="str">
        <v>MARC040 Manage fuel systems</v>
      </c>
      <c r="B85" s="6" t="str">
        <v>Performance Evidence</v>
      </c>
      <c r="C85" s="6" t="str">
        <v>P9</v>
      </c>
      <c r="D85" s="7" t="str">
        <v>Selecting and using relevant equipment required for refuelling operations</v>
      </c>
      <c r="E85" s="6" t="str">
        <v/>
      </c>
      <c r="F85" s="6" t="str">
        <f>SUMPRODUCT(--((G85:M85&lt;&gt;"")*( G85:M85&lt;&gt;0)))</f>
        <v/>
      </c>
      <c r="G85" s="6" t="str">
        <v/>
      </c>
      <c r="H85" s="6" t="str">
        <v/>
      </c>
      <c r="I85" s="6" t="str">
        <v/>
      </c>
      <c r="J85" s="6" t="str">
        <v/>
      </c>
      <c r="K85" s="6" t="str">
        <v/>
      </c>
      <c r="L85" s="6" t="str">
        <v/>
      </c>
      <c r="M85" s="6" t="str">
        <v/>
      </c>
    </row>
    <row r="86">
      <c r="A86" s="8" t="str">
        <v>MARC040 Manage fuel systems</v>
      </c>
      <c r="B86" s="9" t="str">
        <v>Performance Evidence</v>
      </c>
      <c r="C86" s="9" t="str">
        <v>P10</v>
      </c>
      <c r="D86" s="10" t="str">
        <v>Taking appropriate actions in response to an accidental spillage or safety incident during refuelling operations.</v>
      </c>
      <c r="E86" s="9" t="str">
        <v/>
      </c>
      <c r="F86" s="9" t="str">
        <f>SUMPRODUCT(--((G86:M86&lt;&gt;"")*( G86:M86&lt;&gt;0)))</f>
        <v/>
      </c>
      <c r="G86" s="9" t="str">
        <v/>
      </c>
      <c r="H86" s="9" t="str">
        <v/>
      </c>
      <c r="I86" s="9" t="str">
        <v/>
      </c>
      <c r="J86" s="9" t="str">
        <v/>
      </c>
      <c r="K86" s="9" t="str">
        <v/>
      </c>
      <c r="L86" s="9" t="str">
        <v/>
      </c>
      <c r="M86" s="11" t="str">
        <v/>
      </c>
    </row>
    <row r="87">
      <c r="A87" s="6" t="str">
        <v>MARC040 Manage fuel systems</v>
      </c>
      <c r="B87" s="6" t="str">
        <v>Knowledge Evidence</v>
      </c>
      <c r="C87" s="6" t="str">
        <v>K1</v>
      </c>
      <c r="D87" s="7" t="str">
        <v>Appropriate authorities to be notified in the event of an emergency</v>
      </c>
      <c r="E87" s="6" t="str">
        <v/>
      </c>
      <c r="F87" s="6" t="str">
        <f>SUMPRODUCT(--((G87:M87&lt;&gt;"")*( G87:M87&lt;&gt;0)))</f>
        <v/>
      </c>
      <c r="G87" s="6" t="str">
        <v/>
      </c>
      <c r="H87" s="6" t="str">
        <v/>
      </c>
      <c r="I87" s="6" t="str">
        <v/>
      </c>
      <c r="J87" s="6" t="str">
        <v/>
      </c>
      <c r="K87" s="6" t="str">
        <v/>
      </c>
      <c r="L87" s="6" t="str">
        <v/>
      </c>
      <c r="M87" s="6" t="str">
        <v/>
      </c>
    </row>
    <row r="88">
      <c r="A88" s="8" t="str">
        <v>MARC040 Manage fuel systems</v>
      </c>
      <c r="B88" s="9" t="str">
        <v>Knowledge Evidence</v>
      </c>
      <c r="C88" s="9" t="str">
        <v>K2</v>
      </c>
      <c r="D88" s="10" t="str">
        <v>Arrangement of fuel oil systems</v>
      </c>
      <c r="E88" s="9" t="str">
        <v/>
      </c>
      <c r="F88" s="9" t="str">
        <f>SUMPRODUCT(--((G88:M88&lt;&gt;"")*( G88:M88&lt;&gt;0)))</f>
        <v/>
      </c>
      <c r="G88" s="9" t="str">
        <v/>
      </c>
      <c r="H88" s="9" t="str">
        <v/>
      </c>
      <c r="I88" s="9" t="str">
        <v/>
      </c>
      <c r="J88" s="9" t="str">
        <v/>
      </c>
      <c r="K88" s="9" t="str">
        <v/>
      </c>
      <c r="L88" s="9" t="str">
        <v/>
      </c>
      <c r="M88" s="11" t="str">
        <v/>
      </c>
    </row>
    <row r="89">
      <c r="A89" s="6" t="str">
        <v>MARC040 Manage fuel systems</v>
      </c>
      <c r="B89" s="6" t="str">
        <v>Knowledge Evidence</v>
      </c>
      <c r="C89" s="6" t="str">
        <v>K3</v>
      </c>
      <c r="D89" s="7" t="str">
        <v>Calculations of volumes</v>
      </c>
      <c r="E89" s="6" t="str">
        <v/>
      </c>
      <c r="F89" s="6" t="str">
        <f>SUMPRODUCT(--((G89:M89&lt;&gt;"")*( G89:M89&lt;&gt;0)))</f>
        <v/>
      </c>
      <c r="G89" s="6" t="str">
        <v/>
      </c>
      <c r="H89" s="6" t="str">
        <v/>
      </c>
      <c r="I89" s="6" t="str">
        <v/>
      </c>
      <c r="J89" s="6" t="str">
        <v/>
      </c>
      <c r="K89" s="6" t="str">
        <v/>
      </c>
      <c r="L89" s="6" t="str">
        <v/>
      </c>
      <c r="M89" s="6" t="str">
        <v/>
      </c>
    </row>
    <row r="90">
      <c r="A90" s="8" t="str">
        <v>MARC040 Manage fuel systems</v>
      </c>
      <c r="B90" s="9" t="str">
        <v>Knowledge Evidence</v>
      </c>
      <c r="C90" s="9" t="str">
        <v>K4</v>
      </c>
      <c r="D90" s="10" t="str">
        <v>Condensation in fuel tanks</v>
      </c>
      <c r="E90" s="9" t="str">
        <v/>
      </c>
      <c r="F90" s="9" t="str">
        <f>SUMPRODUCT(--((G90:M90&lt;&gt;"")*( G90:M90&lt;&gt;0)))</f>
        <v/>
      </c>
      <c r="G90" s="9" t="str">
        <v/>
      </c>
      <c r="H90" s="9" t="str">
        <v/>
      </c>
      <c r="I90" s="9" t="str">
        <v/>
      </c>
      <c r="J90" s="9" t="str">
        <v/>
      </c>
      <c r="K90" s="9" t="str">
        <v/>
      </c>
      <c r="L90" s="9" t="str">
        <v/>
      </c>
      <c r="M90" s="11" t="str">
        <v/>
      </c>
    </row>
    <row r="91">
      <c r="A91" s="6" t="str">
        <v>MARC040 Manage fuel systems</v>
      </c>
      <c r="B91" s="6" t="str">
        <v>Knowledge Evidence</v>
      </c>
      <c r="C91" s="6" t="str">
        <v>K5</v>
      </c>
      <c r="D91" s="7" t="str">
        <v>Conversion of volumes to litres</v>
      </c>
      <c r="E91" s="6" t="str">
        <v/>
      </c>
      <c r="F91" s="6" t="str">
        <f>SUMPRODUCT(--((G91:M91&lt;&gt;"")*( G91:M91&lt;&gt;0)))</f>
        <v/>
      </c>
      <c r="G91" s="6" t="str">
        <v/>
      </c>
      <c r="H91" s="6" t="str">
        <v/>
      </c>
      <c r="I91" s="6" t="str">
        <v/>
      </c>
      <c r="J91" s="6" t="str">
        <v/>
      </c>
      <c r="K91" s="6" t="str">
        <v/>
      </c>
      <c r="L91" s="6" t="str">
        <v/>
      </c>
      <c r="M91" s="6" t="str">
        <v/>
      </c>
    </row>
    <row r="92">
      <c r="A92" s="8" t="str">
        <v>MARC040 Manage fuel systems</v>
      </c>
      <c r="B92" s="9" t="str">
        <v>Knowledge Evidence</v>
      </c>
      <c r="C92" s="9" t="str">
        <v>K6</v>
      </c>
      <c r="D92" s="10" t="str">
        <v>Effect of slack tanks on vessel stability</v>
      </c>
      <c r="E92" s="9" t="str">
        <v/>
      </c>
      <c r="F92" s="9" t="str">
        <f>SUMPRODUCT(--((G92:M92&lt;&gt;"")*( G92:M92&lt;&gt;0)))</f>
        <v/>
      </c>
      <c r="G92" s="9" t="str">
        <v/>
      </c>
      <c r="H92" s="9" t="str">
        <v/>
      </c>
      <c r="I92" s="9" t="str">
        <v/>
      </c>
      <c r="J92" s="9" t="str">
        <v/>
      </c>
      <c r="K92" s="9" t="str">
        <v/>
      </c>
      <c r="L92" s="9" t="str">
        <v/>
      </c>
      <c r="M92" s="11" t="str">
        <v/>
      </c>
    </row>
    <row r="93" xml:space="preserve">
      <c r="A93" s="6" t="str">
        <v>MARC040 Manage fuel systems</v>
      </c>
      <c r="B93" s="6" t="str">
        <v>Knowledge Evidence</v>
      </c>
      <c r="C93" s="6" t="str">
        <v>K7</v>
      </c>
      <c r="D93" s="7" t="str" xml:space="preserve">
        <v xml:space="preserve">Emergency situations, includes:
-	fire
-	hose rupture or bunker line leak
-	ignition of released fuel vapours
-	loss of stability
-	spillage on deck or overboard</v>
      </c>
      <c r="E93" s="6" t="str">
        <v/>
      </c>
      <c r="F93" s="6" t="str">
        <f>SUMPRODUCT(--((G93:M93&lt;&gt;"")*( G93:M93&lt;&gt;0)))</f>
        <v/>
      </c>
      <c r="G93" s="6" t="str">
        <v/>
      </c>
      <c r="H93" s="6" t="str">
        <v/>
      </c>
      <c r="I93" s="6" t="str">
        <v/>
      </c>
      <c r="J93" s="6" t="str">
        <v/>
      </c>
      <c r="K93" s="6" t="str">
        <v/>
      </c>
      <c r="L93" s="6" t="str">
        <v/>
      </c>
      <c r="M93" s="6" t="str">
        <v/>
      </c>
    </row>
    <row r="94">
      <c r="A94" s="8" t="str">
        <v>MARC040 Manage fuel systems</v>
      </c>
      <c r="B94" s="9" t="str">
        <v>Knowledge Evidence</v>
      </c>
      <c r="C94" s="9" t="str">
        <v>K8</v>
      </c>
      <c r="D94" s="10" t="str">
        <v>Environmental protection measures to be applied during refuelling or transfer operations</v>
      </c>
      <c r="E94" s="9" t="str">
        <v/>
      </c>
      <c r="F94" s="9" t="str">
        <f>SUMPRODUCT(--((G94:M94&lt;&gt;"")*( G94:M94&lt;&gt;0)))</f>
        <v/>
      </c>
      <c r="G94" s="9" t="str">
        <v/>
      </c>
      <c r="H94" s="9" t="str">
        <v/>
      </c>
      <c r="I94" s="9" t="str">
        <v/>
      </c>
      <c r="J94" s="9" t="str">
        <v/>
      </c>
      <c r="K94" s="9" t="str">
        <v/>
      </c>
      <c r="L94" s="9" t="str">
        <v/>
      </c>
      <c r="M94" s="11" t="str">
        <v/>
      </c>
    </row>
    <row r="95">
      <c r="A95" s="6" t="str">
        <v>MARC040 Manage fuel systems</v>
      </c>
      <c r="B95" s="6" t="str">
        <v>Knowledge Evidence</v>
      </c>
      <c r="C95" s="6" t="str">
        <v>K9</v>
      </c>
      <c r="D95" s="7" t="str">
        <v>Fuel oil tank components</v>
      </c>
      <c r="E95" s="6" t="str">
        <v/>
      </c>
      <c r="F95" s="6" t="str">
        <f>SUMPRODUCT(--((G95:M95&lt;&gt;"")*( G95:M95&lt;&gt;0)))</f>
        <v/>
      </c>
      <c r="G95" s="6" t="str">
        <v/>
      </c>
      <c r="H95" s="6" t="str">
        <v/>
      </c>
      <c r="I95" s="6" t="str">
        <v/>
      </c>
      <c r="J95" s="6" t="str">
        <v/>
      </c>
      <c r="K95" s="6" t="str">
        <v/>
      </c>
      <c r="L95" s="6" t="str">
        <v/>
      </c>
      <c r="M95" s="6" t="str">
        <v/>
      </c>
    </row>
    <row r="96">
      <c r="A96" s="8" t="str">
        <v>MARC040 Manage fuel systems</v>
      </c>
      <c r="B96" s="9" t="str">
        <v>Knowledge Evidence</v>
      </c>
      <c r="C96" s="9" t="str">
        <v>K10</v>
      </c>
      <c r="D96" s="10" t="str">
        <v>Fuel tank filling</v>
      </c>
      <c r="E96" s="9" t="str">
        <v/>
      </c>
      <c r="F96" s="9" t="str">
        <f>SUMPRODUCT(--((G96:M96&lt;&gt;"")*( G96:M96&lt;&gt;0)))</f>
        <v/>
      </c>
      <c r="G96" s="9" t="str">
        <v/>
      </c>
      <c r="H96" s="9" t="str">
        <v/>
      </c>
      <c r="I96" s="9" t="str">
        <v/>
      </c>
      <c r="J96" s="9" t="str">
        <v/>
      </c>
      <c r="K96" s="9" t="str">
        <v/>
      </c>
      <c r="L96" s="9" t="str">
        <v/>
      </c>
      <c r="M96" s="11" t="str">
        <v/>
      </c>
    </row>
    <row r="97">
      <c r="A97" s="6" t="str">
        <v>MARC040 Manage fuel systems</v>
      </c>
      <c r="B97" s="6" t="str">
        <v>Knowledge Evidence</v>
      </c>
      <c r="C97" s="6" t="str">
        <v>K11</v>
      </c>
      <c r="D97" s="7" t="str">
        <v>Functions and responsibilities of crew during refuelling or transfer operations</v>
      </c>
      <c r="E97" s="6" t="str">
        <v/>
      </c>
      <c r="F97" s="6" t="str">
        <f>SUMPRODUCT(--((G97:M97&lt;&gt;"")*( G97:M97&lt;&gt;0)))</f>
        <v/>
      </c>
      <c r="G97" s="6" t="str">
        <v/>
      </c>
      <c r="H97" s="6" t="str">
        <v/>
      </c>
      <c r="I97" s="6" t="str">
        <v/>
      </c>
      <c r="J97" s="6" t="str">
        <v/>
      </c>
      <c r="K97" s="6" t="str">
        <v/>
      </c>
      <c r="L97" s="6" t="str">
        <v/>
      </c>
      <c r="M97" s="6" t="str">
        <v/>
      </c>
    </row>
    <row r="98">
      <c r="A98" s="8" t="str">
        <v>MARC040 Manage fuel systems</v>
      </c>
      <c r="B98" s="9" t="str">
        <v>Knowledge Evidence</v>
      </c>
      <c r="C98" s="9" t="str">
        <v>K12</v>
      </c>
      <c r="D98" s="10" t="str">
        <v>Hazards and safety precautions to be observed during refuelling or transfer operations</v>
      </c>
      <c r="E98" s="9" t="str">
        <v/>
      </c>
      <c r="F98" s="9" t="str">
        <f>SUMPRODUCT(--((G98:M98&lt;&gt;"")*( G98:M98&lt;&gt;0)))</f>
        <v/>
      </c>
      <c r="G98" s="9" t="str">
        <v/>
      </c>
      <c r="H98" s="9" t="str">
        <v/>
      </c>
      <c r="I98" s="9" t="str">
        <v/>
      </c>
      <c r="J98" s="9" t="str">
        <v/>
      </c>
      <c r="K98" s="9" t="str">
        <v/>
      </c>
      <c r="L98" s="9" t="str">
        <v/>
      </c>
      <c r="M98" s="11" t="str">
        <v/>
      </c>
    </row>
    <row r="99">
      <c r="A99" s="6" t="str">
        <v>MARC040 Manage fuel systems</v>
      </c>
      <c r="B99" s="6" t="str">
        <v>Knowledge Evidence</v>
      </c>
      <c r="C99" s="6" t="str">
        <v>K13</v>
      </c>
      <c r="D99" s="7" t="str">
        <v>Manufacturer specifications and safety data sheets (SDS)/material safety data sheets (MSDS)</v>
      </c>
      <c r="E99" s="6" t="str">
        <v/>
      </c>
      <c r="F99" s="6" t="str">
        <f>SUMPRODUCT(--((G99:M99&lt;&gt;"")*( G99:M99&lt;&gt;0)))</f>
        <v/>
      </c>
      <c r="G99" s="6" t="str">
        <v/>
      </c>
      <c r="H99" s="6" t="str">
        <v/>
      </c>
      <c r="I99" s="6" t="str">
        <v/>
      </c>
      <c r="J99" s="6" t="str">
        <v/>
      </c>
      <c r="K99" s="6" t="str">
        <v/>
      </c>
      <c r="L99" s="6" t="str">
        <v/>
      </c>
      <c r="M99" s="6" t="str">
        <v/>
      </c>
    </row>
    <row r="100">
      <c r="A100" s="8" t="str">
        <v>MARC040 Manage fuel systems</v>
      </c>
      <c r="B100" s="9" t="str">
        <v>Knowledge Evidence</v>
      </c>
      <c r="C100" s="9" t="str">
        <v>K14</v>
      </c>
      <c r="D100" s="10" t="str">
        <v>Methods of fuel oil tank content measurement</v>
      </c>
      <c r="E100" s="9" t="str">
        <v/>
      </c>
      <c r="F100" s="9" t="str">
        <f>SUMPRODUCT(--((G100:M100&lt;&gt;"")*( G100:M100&lt;&gt;0)))</f>
        <v/>
      </c>
      <c r="G100" s="9" t="str">
        <v/>
      </c>
      <c r="H100" s="9" t="str">
        <v/>
      </c>
      <c r="I100" s="9" t="str">
        <v/>
      </c>
      <c r="J100" s="9" t="str">
        <v/>
      </c>
      <c r="K100" s="9" t="str">
        <v/>
      </c>
      <c r="L100" s="9" t="str">
        <v/>
      </c>
      <c r="M100" s="11" t="str">
        <v/>
      </c>
    </row>
    <row r="101" xml:space="preserve">
      <c r="A101" s="6" t="str">
        <v>MARC040 Manage fuel systems</v>
      </c>
      <c r="B101" s="6" t="str">
        <v>Knowledge Evidence</v>
      </c>
      <c r="C101" s="6" t="str">
        <v>K15</v>
      </c>
      <c r="D101" s="7" t="str" xml:space="preserve">
        <v xml:space="preserve">Process for completing required records includes:
-	logbook
-	oil record book
-	port authority documentation</v>
      </c>
      <c r="E101" s="6" t="str">
        <v/>
      </c>
      <c r="F101" s="6" t="str">
        <f>SUMPRODUCT(--((G101:M101&lt;&gt;"")*( G101:M101&lt;&gt;0)))</f>
        <v/>
      </c>
      <c r="G101" s="6" t="str">
        <v/>
      </c>
      <c r="H101" s="6" t="str">
        <v/>
      </c>
      <c r="I101" s="6" t="str">
        <v/>
      </c>
      <c r="J101" s="6" t="str">
        <v/>
      </c>
      <c r="K101" s="6" t="str">
        <v/>
      </c>
      <c r="L101" s="6" t="str">
        <v/>
      </c>
      <c r="M101" s="6" t="str">
        <v/>
      </c>
    </row>
    <row r="102">
      <c r="A102" s="8" t="str">
        <v>MARC040 Manage fuel systems</v>
      </c>
      <c r="B102" s="9" t="str">
        <v>Knowledge Evidence</v>
      </c>
      <c r="C102" s="9" t="str">
        <v>K16</v>
      </c>
      <c r="D102" s="10" t="str">
        <v>Refuelling and fuel transfer procedures applying to commercial vessels</v>
      </c>
      <c r="E102" s="9" t="str">
        <v/>
      </c>
      <c r="F102" s="9" t="str">
        <f>SUMPRODUCT(--((G102:M102&lt;&gt;"")*( G102:M102&lt;&gt;0)))</f>
        <v/>
      </c>
      <c r="G102" s="9" t="str">
        <v/>
      </c>
      <c r="H102" s="9" t="str">
        <v/>
      </c>
      <c r="I102" s="9" t="str">
        <v/>
      </c>
      <c r="J102" s="9" t="str">
        <v/>
      </c>
      <c r="K102" s="9" t="str">
        <v/>
      </c>
      <c r="L102" s="9" t="str">
        <v/>
      </c>
      <c r="M102" s="11" t="str">
        <v/>
      </c>
    </row>
    <row r="103">
      <c r="A103" s="6" t="str">
        <v>MARC040 Manage fuel systems</v>
      </c>
      <c r="B103" s="6" t="str">
        <v>Knowledge Evidence</v>
      </c>
      <c r="C103" s="6" t="str">
        <v>K17</v>
      </c>
      <c r="D103" s="7" t="str">
        <v>Refuelling records</v>
      </c>
      <c r="E103" s="6" t="str">
        <v/>
      </c>
      <c r="F103" s="6" t="str">
        <f>SUMPRODUCT(--((G103:M103&lt;&gt;"")*( G103:M103&lt;&gt;0)))</f>
        <v/>
      </c>
      <c r="G103" s="6" t="str">
        <v/>
      </c>
      <c r="H103" s="6" t="str">
        <v/>
      </c>
      <c r="I103" s="6" t="str">
        <v/>
      </c>
      <c r="J103" s="6" t="str">
        <v/>
      </c>
      <c r="K103" s="6" t="str">
        <v/>
      </c>
      <c r="L103" s="6" t="str">
        <v/>
      </c>
      <c r="M103" s="6" t="str">
        <v/>
      </c>
    </row>
    <row r="104">
      <c r="A104" s="8" t="str">
        <v>MARC040 Manage fuel systems</v>
      </c>
      <c r="B104" s="9" t="str">
        <v>Knowledge Evidence</v>
      </c>
      <c r="C104" s="9" t="str">
        <v>K18</v>
      </c>
      <c r="D104" s="10" t="str">
        <v>Shutdown procedures including communications with fuel supplier and valve closure</v>
      </c>
      <c r="E104" s="9" t="str">
        <v/>
      </c>
      <c r="F104" s="9" t="str">
        <f>SUMPRODUCT(--((G104:M104&lt;&gt;"")*( G104:M104&lt;&gt;0)))</f>
        <v/>
      </c>
      <c r="G104" s="9" t="str">
        <v/>
      </c>
      <c r="H104" s="9" t="str">
        <v/>
      </c>
      <c r="I104" s="9" t="str">
        <v/>
      </c>
      <c r="J104" s="9" t="str">
        <v/>
      </c>
      <c r="K104" s="9" t="str">
        <v/>
      </c>
      <c r="L104" s="9" t="str">
        <v/>
      </c>
      <c r="M104" s="11" t="str">
        <v/>
      </c>
    </row>
    <row r="105">
      <c r="A105" s="6" t="str">
        <v>MARC040 Manage fuel systems</v>
      </c>
      <c r="B105" s="6" t="str">
        <v>Knowledge Evidence</v>
      </c>
      <c r="C105" s="6" t="str">
        <v>K19</v>
      </c>
      <c r="D105" s="7" t="str">
        <v>Specific fuel consumption</v>
      </c>
      <c r="E105" s="6" t="str">
        <v/>
      </c>
      <c r="F105" s="6" t="str">
        <f>SUMPRODUCT(--((G105:M105&lt;&gt;"")*( G105:M105&lt;&gt;0)))</f>
        <v/>
      </c>
      <c r="G105" s="6" t="str">
        <v/>
      </c>
      <c r="H105" s="6" t="str">
        <v/>
      </c>
      <c r="I105" s="6" t="str">
        <v/>
      </c>
      <c r="J105" s="6" t="str">
        <v/>
      </c>
      <c r="K105" s="6" t="str">
        <v/>
      </c>
      <c r="L105" s="6" t="str">
        <v/>
      </c>
      <c r="M105" s="6" t="str">
        <v/>
      </c>
    </row>
    <row r="106">
      <c r="A106" s="8" t="str">
        <v>MARC040 Manage fuel systems</v>
      </c>
      <c r="B106" s="9" t="str">
        <v>Knowledge Evidence</v>
      </c>
      <c r="C106" s="9" t="str">
        <v>K20</v>
      </c>
      <c r="D106" s="10" t="str">
        <v>WHS/OHS and pollution control, legislation and policies.</v>
      </c>
      <c r="E106" s="9" t="str">
        <v/>
      </c>
      <c r="F106" s="9" t="str">
        <f>SUMPRODUCT(--((G106:M106&lt;&gt;"")*( G106:M106&lt;&gt;0)))</f>
        <v/>
      </c>
      <c r="G106" s="9" t="str">
        <v/>
      </c>
      <c r="H106" s="9" t="str">
        <v/>
      </c>
      <c r="I106" s="9" t="str">
        <v/>
      </c>
      <c r="J106" s="9" t="str">
        <v/>
      </c>
      <c r="K106" s="9" t="str">
        <v/>
      </c>
      <c r="L106" s="9" t="str">
        <v/>
      </c>
      <c r="M106" s="11" t="str">
        <v/>
      </c>
    </row>
    <row r="107">
      <c r="A107" s="6" t="str">
        <v>MARC040 Manage fuel systems</v>
      </c>
      <c r="B107" s="6" t="str">
        <v>Knowledge Evidence</v>
      </c>
      <c r="C107" s="6" t="str">
        <v>K21</v>
      </c>
      <c r="D107" s="7" t="str">
        <v>Fire</v>
      </c>
      <c r="E107" s="6" t="str">
        <v/>
      </c>
      <c r="F107" s="6" t="str">
        <f>SUMPRODUCT(--((G107:M107&lt;&gt;"")*( G107:M107&lt;&gt;0)))</f>
        <v/>
      </c>
      <c r="G107" s="6" t="str">
        <v/>
      </c>
      <c r="H107" s="6" t="str">
        <v/>
      </c>
      <c r="I107" s="6" t="str">
        <v/>
      </c>
      <c r="J107" s="6" t="str">
        <v/>
      </c>
      <c r="K107" s="6" t="str">
        <v/>
      </c>
      <c r="L107" s="6" t="str">
        <v/>
      </c>
      <c r="M107" s="6" t="str">
        <v/>
      </c>
    </row>
    <row r="108">
      <c r="A108" s="8" t="str">
        <v>MARC040 Manage fuel systems</v>
      </c>
      <c r="B108" s="9" t="str">
        <v>Knowledge Evidence</v>
      </c>
      <c r="C108" s="9" t="str">
        <v>K22</v>
      </c>
      <c r="D108" s="10" t="str">
        <v>Hose rupture or bunker line leak</v>
      </c>
      <c r="E108" s="9" t="str">
        <v/>
      </c>
      <c r="F108" s="9" t="str">
        <f>SUMPRODUCT(--((G108:M108&lt;&gt;"")*( G108:M108&lt;&gt;0)))</f>
        <v/>
      </c>
      <c r="G108" s="9" t="str">
        <v/>
      </c>
      <c r="H108" s="9" t="str">
        <v/>
      </c>
      <c r="I108" s="9" t="str">
        <v/>
      </c>
      <c r="J108" s="9" t="str">
        <v/>
      </c>
      <c r="K108" s="9" t="str">
        <v/>
      </c>
      <c r="L108" s="9" t="str">
        <v/>
      </c>
      <c r="M108" s="11" t="str">
        <v/>
      </c>
    </row>
    <row r="109">
      <c r="A109" s="6" t="str">
        <v>MARC040 Manage fuel systems</v>
      </c>
      <c r="B109" s="6" t="str">
        <v>Knowledge Evidence</v>
      </c>
      <c r="C109" s="6" t="str">
        <v>K23</v>
      </c>
      <c r="D109" s="7" t="str">
        <v>Ignition of released fuel vapours</v>
      </c>
      <c r="E109" s="6" t="str">
        <v/>
      </c>
      <c r="F109" s="6" t="str">
        <f>SUMPRODUCT(--((G109:M109&lt;&gt;"")*( G109:M109&lt;&gt;0)))</f>
        <v/>
      </c>
      <c r="G109" s="6" t="str">
        <v/>
      </c>
      <c r="H109" s="6" t="str">
        <v/>
      </c>
      <c r="I109" s="6" t="str">
        <v/>
      </c>
      <c r="J109" s="6" t="str">
        <v/>
      </c>
      <c r="K109" s="6" t="str">
        <v/>
      </c>
      <c r="L109" s="6" t="str">
        <v/>
      </c>
      <c r="M109" s="6" t="str">
        <v/>
      </c>
    </row>
    <row r="110">
      <c r="A110" s="8" t="str">
        <v>MARC040 Manage fuel systems</v>
      </c>
      <c r="B110" s="9" t="str">
        <v>Knowledge Evidence</v>
      </c>
      <c r="C110" s="9" t="str">
        <v>K24</v>
      </c>
      <c r="D110" s="10" t="str">
        <v>Loss of stability</v>
      </c>
      <c r="E110" s="9" t="str">
        <v/>
      </c>
      <c r="F110" s="9" t="str">
        <f>SUMPRODUCT(--((G110:M110&lt;&gt;"")*( G110:M110&lt;&gt;0)))</f>
        <v/>
      </c>
      <c r="G110" s="9" t="str">
        <v/>
      </c>
      <c r="H110" s="9" t="str">
        <v/>
      </c>
      <c r="I110" s="9" t="str">
        <v/>
      </c>
      <c r="J110" s="9" t="str">
        <v/>
      </c>
      <c r="K110" s="9" t="str">
        <v/>
      </c>
      <c r="L110" s="9" t="str">
        <v/>
      </c>
      <c r="M110" s="11" t="str">
        <v/>
      </c>
    </row>
    <row r="111">
      <c r="A111" s="6" t="str">
        <v>MARC040 Manage fuel systems</v>
      </c>
      <c r="B111" s="6" t="str">
        <v>Knowledge Evidence</v>
      </c>
      <c r="C111" s="6" t="str">
        <v>K25</v>
      </c>
      <c r="D111" s="7" t="str">
        <v>Spillage on deck or overboard</v>
      </c>
      <c r="E111" s="6" t="str">
        <v/>
      </c>
      <c r="F111" s="6" t="str">
        <f>SUMPRODUCT(--((G111:M111&lt;&gt;"")*( G111:M111&lt;&gt;0)))</f>
        <v/>
      </c>
      <c r="G111" s="6" t="str">
        <v/>
      </c>
      <c r="H111" s="6" t="str">
        <v/>
      </c>
      <c r="I111" s="6" t="str">
        <v/>
      </c>
      <c r="J111" s="6" t="str">
        <v/>
      </c>
      <c r="K111" s="6" t="str">
        <v/>
      </c>
      <c r="L111" s="6" t="str">
        <v/>
      </c>
      <c r="M111" s="6" t="str">
        <v/>
      </c>
    </row>
    <row r="112">
      <c r="A112" s="8" t="str">
        <v>MARC040 Manage fuel systems</v>
      </c>
      <c r="B112" s="9" t="str">
        <v>Knowledge Evidence</v>
      </c>
      <c r="C112" s="9" t="str">
        <v>K26</v>
      </c>
      <c r="D112" s="10" t="str">
        <v>Logbook</v>
      </c>
      <c r="E112" s="9" t="str">
        <v/>
      </c>
      <c r="F112" s="9" t="str">
        <f>SUMPRODUCT(--((G112:M112&lt;&gt;"")*( G112:M112&lt;&gt;0)))</f>
        <v/>
      </c>
      <c r="G112" s="9" t="str">
        <v/>
      </c>
      <c r="H112" s="9" t="str">
        <v/>
      </c>
      <c r="I112" s="9" t="str">
        <v/>
      </c>
      <c r="J112" s="9" t="str">
        <v/>
      </c>
      <c r="K112" s="9" t="str">
        <v/>
      </c>
      <c r="L112" s="9" t="str">
        <v/>
      </c>
      <c r="M112" s="11" t="str">
        <v/>
      </c>
    </row>
    <row r="113">
      <c r="A113" s="6" t="str">
        <v>MARC040 Manage fuel systems</v>
      </c>
      <c r="B113" s="6" t="str">
        <v>Knowledge Evidence</v>
      </c>
      <c r="C113" s="6" t="str">
        <v>K27</v>
      </c>
      <c r="D113" s="7" t="str">
        <v>Oil record book</v>
      </c>
      <c r="E113" s="6" t="str">
        <v/>
      </c>
      <c r="F113" s="6" t="str">
        <f>SUMPRODUCT(--((G113:M113&lt;&gt;"")*( G113:M113&lt;&gt;0)))</f>
        <v/>
      </c>
      <c r="G113" s="6" t="str">
        <v/>
      </c>
      <c r="H113" s="6" t="str">
        <v/>
      </c>
      <c r="I113" s="6" t="str">
        <v/>
      </c>
      <c r="J113" s="6" t="str">
        <v/>
      </c>
      <c r="K113" s="6" t="str">
        <v/>
      </c>
      <c r="L113" s="6" t="str">
        <v/>
      </c>
      <c r="M113" s="6" t="str">
        <v/>
      </c>
    </row>
    <row r="114">
      <c r="A114" s="8" t="str">
        <v>MARC040 Manage fuel systems</v>
      </c>
      <c r="B114" s="9" t="str">
        <v>Knowledge Evidence</v>
      </c>
      <c r="C114" s="9" t="str">
        <v>K28</v>
      </c>
      <c r="D114" s="10" t="str">
        <v>Port authority documentation</v>
      </c>
      <c r="E114" s="9" t="str">
        <v/>
      </c>
      <c r="F114" s="9" t="str">
        <f>SUMPRODUCT(--((G114:M114&lt;&gt;"")*( G114:M114&lt;&gt;0)))</f>
        <v/>
      </c>
      <c r="G114" s="9" t="str">
        <v/>
      </c>
      <c r="H114" s="9" t="str">
        <v/>
      </c>
      <c r="I114" s="9" t="str">
        <v/>
      </c>
      <c r="J114" s="9" t="str">
        <v/>
      </c>
      <c r="K114" s="9" t="str">
        <v/>
      </c>
      <c r="L114" s="9" t="str">
        <v/>
      </c>
      <c r="M114" s="11" t="str">
        <v/>
      </c>
    </row>
    <row r="115">
      <c r="A115" s="12" t="str">
        <v/>
      </c>
      <c r="B115" s="12" t="str">
        <v/>
      </c>
      <c r="C115" s="12" t="str">
        <v/>
      </c>
      <c r="D115" s="12" t="str">
        <v/>
      </c>
      <c r="E115" s="12" t="str">
        <v/>
      </c>
      <c r="F115" s="12" t="str">
        <f>SUMPRODUCT(--((G115:M115&lt;&gt;"")*( G115:M115&lt;&gt;0)))</f>
        <v/>
      </c>
      <c r="G115" s="12" t="str">
        <v/>
      </c>
      <c r="H115" s="12" t="str">
        <v/>
      </c>
      <c r="I115" s="12" t="str">
        <v/>
      </c>
      <c r="J115" s="12" t="str">
        <v/>
      </c>
      <c r="K115" s="12" t="str">
        <v/>
      </c>
      <c r="L115" s="12" t="str">
        <v/>
      </c>
      <c r="M115" s="12" t="str">
        <v/>
      </c>
    </row>
    <row r="116">
      <c r="A116" s="8" t="str">
        <v>MARK008 Manoeuvre a vessel up to 24 metres within Near Coastal waters</v>
      </c>
      <c r="B116" s="9" t="str">
        <v>1. Manoeuvre vessel in normal conditions</v>
      </c>
      <c r="C116" s="9" t="str">
        <v>1.1</v>
      </c>
      <c r="D116" s="10" t="str">
        <v>Features of vessel that relate to its handling characteristics are recognised</v>
      </c>
      <c r="E116" s="9" t="str">
        <v/>
      </c>
      <c r="F116" s="9" t="str">
        <f>SUMPRODUCT(--((G116:M116&lt;&gt;"")*( G116:M116&lt;&gt;0)))</f>
        <v/>
      </c>
      <c r="G116" s="9" t="str">
        <v/>
      </c>
      <c r="H116" s="9" t="str">
        <v/>
      </c>
      <c r="I116" s="9" t="str">
        <v/>
      </c>
      <c r="J116" s="9" t="str">
        <v/>
      </c>
      <c r="K116" s="9" t="str">
        <v/>
      </c>
      <c r="L116" s="9" t="str">
        <v/>
      </c>
      <c r="M116" s="11" t="str">
        <v/>
      </c>
    </row>
    <row r="117">
      <c r="A117" s="6" t="str">
        <v>MARK008 Manoeuvre a vessel up to 24 metres within Near Coastal waters</v>
      </c>
      <c r="B117" s="6" t="str">
        <v>1. Manoeuvre vessel in normal conditions</v>
      </c>
      <c r="C117" s="6" t="str">
        <v>1.2</v>
      </c>
      <c r="D117" s="7" t="str">
        <v>Details of manoeuvres are communicated to relevant personnel clearly and concisely using standard maritime vocabulary</v>
      </c>
      <c r="E117" s="6" t="str">
        <v/>
      </c>
      <c r="F117" s="6" t="str">
        <f>SUMPRODUCT(--((G117:M117&lt;&gt;"")*( G117:M117&lt;&gt;0)))</f>
        <v/>
      </c>
      <c r="G117" s="6" t="str">
        <v/>
      </c>
      <c r="H117" s="6" t="str">
        <v/>
      </c>
      <c r="I117" s="6" t="str">
        <v/>
      </c>
      <c r="J117" s="6" t="str">
        <v/>
      </c>
      <c r="K117" s="6" t="str">
        <v/>
      </c>
      <c r="L117" s="6" t="str">
        <v/>
      </c>
      <c r="M117" s="6" t="str">
        <v/>
      </c>
    </row>
    <row r="118">
      <c r="A118" s="8" t="str">
        <v>MARK008 Manoeuvre a vessel up to 24 metres within Near Coastal waters</v>
      </c>
      <c r="B118" s="9" t="str">
        <v>1. Manoeuvre vessel in normal conditions</v>
      </c>
      <c r="C118" s="9" t="str">
        <v>1.3</v>
      </c>
      <c r="D118" s="10" t="str">
        <v>Situational awareness is maintained to ensure safe manoeuvres</v>
      </c>
      <c r="E118" s="9" t="str">
        <v/>
      </c>
      <c r="F118" s="9" t="str">
        <f>SUMPRODUCT(--((G118:M118&lt;&gt;"")*( G118:M118&lt;&gt;0)))</f>
        <v/>
      </c>
      <c r="G118" s="9" t="str">
        <v/>
      </c>
      <c r="H118" s="9" t="str">
        <v/>
      </c>
      <c r="I118" s="9" t="str">
        <v/>
      </c>
      <c r="J118" s="9" t="str">
        <v/>
      </c>
      <c r="K118" s="9" t="str">
        <v/>
      </c>
      <c r="L118" s="9" t="str">
        <v/>
      </c>
      <c r="M118" s="11" t="str">
        <v/>
      </c>
    </row>
    <row r="119">
      <c r="A119" s="6" t="str">
        <v>MARK008 Manoeuvre a vessel up to 24 metres within Near Coastal waters</v>
      </c>
      <c r="B119" s="6" t="str">
        <v>1. Manoeuvre vessel in normal conditions</v>
      </c>
      <c r="C119" s="6" t="str">
        <v>1.4</v>
      </c>
      <c r="D119" s="7" t="str">
        <v>Manoeuvres are completed to meet passage requirements</v>
      </c>
      <c r="E119" s="6" t="str">
        <v/>
      </c>
      <c r="F119" s="6" t="str">
        <f>SUMPRODUCT(--((G119:M119&lt;&gt;"")*( G119:M119&lt;&gt;0)))</f>
        <v/>
      </c>
      <c r="G119" s="6" t="str">
        <v/>
      </c>
      <c r="H119" s="6" t="str">
        <v/>
      </c>
      <c r="I119" s="6" t="str">
        <v/>
      </c>
      <c r="J119" s="6" t="str">
        <v/>
      </c>
      <c r="K119" s="6" t="str">
        <v/>
      </c>
      <c r="L119" s="6" t="str">
        <v/>
      </c>
      <c r="M119" s="6" t="str">
        <v/>
      </c>
    </row>
    <row r="120">
      <c r="A120" s="8" t="str">
        <v>MARK008 Manoeuvre a vessel up to 24 metres within Near Coastal waters</v>
      </c>
      <c r="B120" s="9" t="str">
        <v>1. Manoeuvre vessel in normal conditions</v>
      </c>
      <c r="C120" s="9" t="str">
        <v>1.5</v>
      </c>
      <c r="D120" s="10" t="str">
        <v>Propulsion equipment is used and monitored to assist in completing manoeuvres safely</v>
      </c>
      <c r="E120" s="9" t="str">
        <v/>
      </c>
      <c r="F120" s="9" t="str">
        <f>SUMPRODUCT(--((G120:M120&lt;&gt;"")*( G120:M120&lt;&gt;0)))</f>
        <v/>
      </c>
      <c r="G120" s="9" t="str">
        <v/>
      </c>
      <c r="H120" s="9" t="str">
        <v/>
      </c>
      <c r="I120" s="9" t="str">
        <v/>
      </c>
      <c r="J120" s="9" t="str">
        <v/>
      </c>
      <c r="K120" s="9" t="str">
        <v/>
      </c>
      <c r="L120" s="9" t="str">
        <v/>
      </c>
      <c r="M120" s="11" t="str">
        <v/>
      </c>
    </row>
    <row r="121">
      <c r="A121" s="6" t="str">
        <v>MARK008 Manoeuvre a vessel up to 24 metres within Near Coastal waters</v>
      </c>
      <c r="B121" s="6" t="str">
        <v>1. Manoeuvre vessel in normal conditions</v>
      </c>
      <c r="C121" s="6" t="str">
        <v>1.6</v>
      </c>
      <c r="D121" s="7" t="str">
        <v>Appropriate alterations to vessel heading are made in response to operational environment</v>
      </c>
      <c r="E121" s="6" t="str">
        <v/>
      </c>
      <c r="F121" s="6" t="str">
        <f>SUMPRODUCT(--((G121:M121&lt;&gt;"")*( G121:M121&lt;&gt;0)))</f>
        <v/>
      </c>
      <c r="G121" s="6" t="str">
        <v/>
      </c>
      <c r="H121" s="6" t="str">
        <v/>
      </c>
      <c r="I121" s="6" t="str">
        <v/>
      </c>
      <c r="J121" s="6" t="str">
        <v/>
      </c>
      <c r="K121" s="6" t="str">
        <v/>
      </c>
      <c r="L121" s="6" t="str">
        <v/>
      </c>
      <c r="M121" s="6" t="str">
        <v/>
      </c>
    </row>
    <row r="122">
      <c r="A122" s="8" t="str">
        <v>MARK008 Manoeuvre a vessel up to 24 metres within Near Coastal waters</v>
      </c>
      <c r="B122" s="9" t="str">
        <v>1. Manoeuvre vessel in normal conditions</v>
      </c>
      <c r="C122" s="9" t="str">
        <v>1.7</v>
      </c>
      <c r="D122" s="10" t="str">
        <v>Safe operating limits of propulsion and steering equipment are not exceeded</v>
      </c>
      <c r="E122" s="9" t="str">
        <v/>
      </c>
      <c r="F122" s="9" t="str">
        <f>SUMPRODUCT(--((G122:M122&lt;&gt;"")*( G122:M122&lt;&gt;0)))</f>
        <v/>
      </c>
      <c r="G122" s="9" t="str">
        <v/>
      </c>
      <c r="H122" s="9" t="str">
        <v/>
      </c>
      <c r="I122" s="9" t="str">
        <v/>
      </c>
      <c r="J122" s="9" t="str">
        <v/>
      </c>
      <c r="K122" s="9" t="str">
        <v/>
      </c>
      <c r="L122" s="9" t="str">
        <v/>
      </c>
      <c r="M122" s="11" t="str">
        <v/>
      </c>
    </row>
    <row r="123">
      <c r="A123" s="6" t="str">
        <v>MARK008 Manoeuvre a vessel up to 24 metres within Near Coastal waters</v>
      </c>
      <c r="B123" s="6" t="str">
        <v>2. Manoeuvre vessel in adverse weather conditions</v>
      </c>
      <c r="C123" s="6" t="str">
        <v>2.1</v>
      </c>
      <c r="D123" s="7" t="str">
        <v>Nature of adverse weather conditions is identified and the potential impact on the manoeuvrability of the vessel is determined</v>
      </c>
      <c r="E123" s="6" t="str">
        <v/>
      </c>
      <c r="F123" s="6" t="str">
        <f>SUMPRODUCT(--((G123:M123&lt;&gt;"")*( G123:M123&lt;&gt;0)))</f>
        <v/>
      </c>
      <c r="G123" s="6" t="str">
        <v/>
      </c>
      <c r="H123" s="6" t="str">
        <v/>
      </c>
      <c r="I123" s="6" t="str">
        <v/>
      </c>
      <c r="J123" s="6" t="str">
        <v/>
      </c>
      <c r="K123" s="6" t="str">
        <v/>
      </c>
      <c r="L123" s="6" t="str">
        <v/>
      </c>
      <c r="M123" s="6" t="str">
        <v/>
      </c>
    </row>
    <row r="124">
      <c r="A124" s="8" t="str">
        <v>MARK008 Manoeuvre a vessel up to 24 metres within Near Coastal waters</v>
      </c>
      <c r="B124" s="9" t="str">
        <v>2. Manoeuvre vessel in adverse weather conditions</v>
      </c>
      <c r="C124" s="9" t="str">
        <v>2.2</v>
      </c>
      <c r="D124" s="10" t="str">
        <v>Appropriate action is taken to ensure the safety of vessel</v>
      </c>
      <c r="E124" s="9" t="str">
        <v/>
      </c>
      <c r="F124" s="9" t="str">
        <f>SUMPRODUCT(--((G124:M124&lt;&gt;"")*( G124:M124&lt;&gt;0)))</f>
        <v/>
      </c>
      <c r="G124" s="9" t="str">
        <v/>
      </c>
      <c r="H124" s="9" t="str">
        <v/>
      </c>
      <c r="I124" s="9" t="str">
        <v/>
      </c>
      <c r="J124" s="9" t="str">
        <v/>
      </c>
      <c r="K124" s="9" t="str">
        <v/>
      </c>
      <c r="L124" s="9" t="str">
        <v/>
      </c>
      <c r="M124" s="11" t="str">
        <v/>
      </c>
    </row>
    <row r="125">
      <c r="A125" s="6" t="str">
        <v>MARK008 Manoeuvre a vessel up to 24 metres within Near Coastal waters</v>
      </c>
      <c r="B125" s="6" t="str">
        <v>2. Manoeuvre vessel in adverse weather conditions</v>
      </c>
      <c r="C125" s="6" t="str">
        <v>2.3</v>
      </c>
      <c r="D125" s="7" t="str">
        <v>Propulsion equipment is used and monitored to assist in completing actions safely</v>
      </c>
      <c r="E125" s="6" t="str">
        <v/>
      </c>
      <c r="F125" s="6" t="str">
        <f>SUMPRODUCT(--((G125:M125&lt;&gt;"")*( G125:M125&lt;&gt;0)))</f>
        <v/>
      </c>
      <c r="G125" s="6" t="str">
        <v/>
      </c>
      <c r="H125" s="6" t="str">
        <v/>
      </c>
      <c r="I125" s="6" t="str">
        <v/>
      </c>
      <c r="J125" s="6" t="str">
        <v/>
      </c>
      <c r="K125" s="6" t="str">
        <v/>
      </c>
      <c r="L125" s="6" t="str">
        <v/>
      </c>
      <c r="M125" s="6" t="str">
        <v/>
      </c>
    </row>
    <row r="126">
      <c r="A126" s="8" t="str">
        <v>MARK008 Manoeuvre a vessel up to 24 metres within Near Coastal waters</v>
      </c>
      <c r="B126" s="9" t="str">
        <v>2. Manoeuvre vessel in adverse weather conditions</v>
      </c>
      <c r="C126" s="9" t="str">
        <v>2.4</v>
      </c>
      <c r="D126" s="10" t="str">
        <v>Heading is maintained within acceptable limits</v>
      </c>
      <c r="E126" s="9" t="str">
        <v/>
      </c>
      <c r="F126" s="9" t="str">
        <f>SUMPRODUCT(--((G126:M126&lt;&gt;"")*( G126:M126&lt;&gt;0)))</f>
        <v/>
      </c>
      <c r="G126" s="9" t="str">
        <v/>
      </c>
      <c r="H126" s="9" t="str">
        <v/>
      </c>
      <c r="I126" s="9" t="str">
        <v/>
      </c>
      <c r="J126" s="9" t="str">
        <v/>
      </c>
      <c r="K126" s="9" t="str">
        <v/>
      </c>
      <c r="L126" s="9" t="str">
        <v/>
      </c>
      <c r="M126" s="11" t="str">
        <v/>
      </c>
    </row>
    <row r="127">
      <c r="A127" s="6" t="str">
        <v>MARK008 Manoeuvre a vessel up to 24 metres within Near Coastal waters</v>
      </c>
      <c r="B127" s="6" t="str">
        <v>2. Manoeuvre vessel in adverse weather conditions</v>
      </c>
      <c r="C127" s="6" t="str">
        <v>2.5</v>
      </c>
      <c r="D127" s="7" t="str">
        <v>Appropriate allowance is made for effects of deadweight, draft, trim, speed and underwater keel clearances during turning circles and stopping distance</v>
      </c>
      <c r="E127" s="6" t="str">
        <v/>
      </c>
      <c r="F127" s="6" t="str">
        <f>SUMPRODUCT(--((G127:M127&lt;&gt;"")*( G127:M127&lt;&gt;0)))</f>
        <v/>
      </c>
      <c r="G127" s="6" t="str">
        <v/>
      </c>
      <c r="H127" s="6" t="str">
        <v/>
      </c>
      <c r="I127" s="6" t="str">
        <v/>
      </c>
      <c r="J127" s="6" t="str">
        <v/>
      </c>
      <c r="K127" s="6" t="str">
        <v/>
      </c>
      <c r="L127" s="6" t="str">
        <v/>
      </c>
      <c r="M127" s="6" t="str">
        <v/>
      </c>
    </row>
    <row r="128">
      <c r="A128" s="8" t="str">
        <v>MARK008 Manoeuvre a vessel up to 24 metres within Near Coastal waters</v>
      </c>
      <c r="B128" s="9" t="str">
        <v>2. Manoeuvre vessel in adverse weather conditions</v>
      </c>
      <c r="C128" s="9" t="str">
        <v>2.6</v>
      </c>
      <c r="D128" s="10" t="str">
        <v>Safe operating limits of propulsion and steering equipment are not exceeded</v>
      </c>
      <c r="E128" s="9" t="str">
        <v/>
      </c>
      <c r="F128" s="9" t="str">
        <f>SUMPRODUCT(--((G128:M128&lt;&gt;"")*( G128:M128&lt;&gt;0)))</f>
        <v/>
      </c>
      <c r="G128" s="9" t="str">
        <v/>
      </c>
      <c r="H128" s="9" t="str">
        <v/>
      </c>
      <c r="I128" s="9" t="str">
        <v/>
      </c>
      <c r="J128" s="9" t="str">
        <v/>
      </c>
      <c r="K128" s="9" t="str">
        <v/>
      </c>
      <c r="L128" s="9" t="str">
        <v/>
      </c>
      <c r="M128" s="11" t="str">
        <v/>
      </c>
    </row>
    <row r="129">
      <c r="A129" s="6" t="str">
        <v>MARK008 Manoeuvre a vessel up to 24 metres within Near Coastal waters</v>
      </c>
      <c r="B129" s="6" t="str">
        <v>2. Manoeuvre vessel in adverse weather conditions</v>
      </c>
      <c r="C129" s="6" t="str">
        <v>2.7</v>
      </c>
      <c r="D129" s="7" t="str">
        <v>Situational awareness is maintained at all times to review actions and ensure safety of vessel</v>
      </c>
      <c r="E129" s="6" t="str">
        <v/>
      </c>
      <c r="F129" s="6" t="str">
        <f>SUMPRODUCT(--((G129:M129&lt;&gt;"")*( G129:M129&lt;&gt;0)))</f>
        <v/>
      </c>
      <c r="G129" s="6" t="str">
        <v/>
      </c>
      <c r="H129" s="6" t="str">
        <v/>
      </c>
      <c r="I129" s="6" t="str">
        <v/>
      </c>
      <c r="J129" s="6" t="str">
        <v/>
      </c>
      <c r="K129" s="6" t="str">
        <v/>
      </c>
      <c r="L129" s="6" t="str">
        <v/>
      </c>
      <c r="M129" s="6" t="str">
        <v/>
      </c>
    </row>
    <row r="130">
      <c r="A130" s="8" t="str">
        <v>MARK008 Manoeuvre a vessel up to 24 metres within Near Coastal waters</v>
      </c>
      <c r="B130" s="9" t="str">
        <v>3. Manoeuvre vessel in emergencies</v>
      </c>
      <c r="C130" s="9" t="str">
        <v>3.1</v>
      </c>
      <c r="D130" s="10" t="str">
        <v>Nature of the emergency is established and required action is determined</v>
      </c>
      <c r="E130" s="9" t="str">
        <v/>
      </c>
      <c r="F130" s="9" t="str">
        <f>SUMPRODUCT(--((G130:M130&lt;&gt;"")*( G130:M130&lt;&gt;0)))</f>
        <v/>
      </c>
      <c r="G130" s="9" t="str">
        <v/>
      </c>
      <c r="H130" s="9" t="str">
        <v/>
      </c>
      <c r="I130" s="9" t="str">
        <v/>
      </c>
      <c r="J130" s="9" t="str">
        <v/>
      </c>
      <c r="K130" s="9" t="str">
        <v/>
      </c>
      <c r="L130" s="9" t="str">
        <v/>
      </c>
      <c r="M130" s="11" t="str">
        <v/>
      </c>
    </row>
    <row r="131">
      <c r="A131" s="6" t="str">
        <v>MARK008 Manoeuvre a vessel up to 24 metres within Near Coastal waters</v>
      </c>
      <c r="B131" s="6" t="str">
        <v>3. Manoeuvre vessel in emergencies</v>
      </c>
      <c r="C131" s="6" t="str">
        <v>3.2</v>
      </c>
      <c r="D131" s="7" t="str">
        <v>Risks to the vessel and the safety of persons on board are assessed and safety of required action is confirmed</v>
      </c>
      <c r="E131" s="6" t="str">
        <v/>
      </c>
      <c r="F131" s="6" t="str">
        <f>SUMPRODUCT(--((G131:M131&lt;&gt;"")*( G131:M131&lt;&gt;0)))</f>
        <v/>
      </c>
      <c r="G131" s="6" t="str">
        <v/>
      </c>
      <c r="H131" s="6" t="str">
        <v/>
      </c>
      <c r="I131" s="6" t="str">
        <v/>
      </c>
      <c r="J131" s="6" t="str">
        <v/>
      </c>
      <c r="K131" s="6" t="str">
        <v/>
      </c>
      <c r="L131" s="6" t="str">
        <v/>
      </c>
      <c r="M131" s="6" t="str">
        <v/>
      </c>
    </row>
    <row r="132">
      <c r="A132" s="8" t="str">
        <v>MARK008 Manoeuvre a vessel up to 24 metres within Near Coastal waters</v>
      </c>
      <c r="B132" s="9" t="str">
        <v>3. Manoeuvre vessel in emergencies</v>
      </c>
      <c r="C132" s="9" t="str">
        <v>3.3</v>
      </c>
      <c r="D132" s="10" t="str">
        <v>Details of action are communicated to relevant personnel clearly and concisely using standard maritime vocabulary</v>
      </c>
      <c r="E132" s="9" t="str">
        <v/>
      </c>
      <c r="F132" s="9" t="str">
        <f>SUMPRODUCT(--((G132:M132&lt;&gt;"")*( G132:M132&lt;&gt;0)))</f>
        <v/>
      </c>
      <c r="G132" s="9" t="str">
        <v/>
      </c>
      <c r="H132" s="9" t="str">
        <v/>
      </c>
      <c r="I132" s="9" t="str">
        <v/>
      </c>
      <c r="J132" s="9" t="str">
        <v/>
      </c>
      <c r="K132" s="9" t="str">
        <v/>
      </c>
      <c r="L132" s="9" t="str">
        <v/>
      </c>
      <c r="M132" s="11" t="str">
        <v/>
      </c>
    </row>
    <row r="133">
      <c r="A133" s="6" t="str">
        <v>MARK008 Manoeuvre a vessel up to 24 metres within Near Coastal waters</v>
      </c>
      <c r="B133" s="6" t="str">
        <v>3. Manoeuvre vessel in emergencies</v>
      </c>
      <c r="C133" s="6" t="str">
        <v>3.4</v>
      </c>
      <c r="D133" s="7" t="str">
        <v>Appropriate manoeuvres are made during the emergency to maintain the safety of the vessel and those on board, and any other vessels or persons involved</v>
      </c>
      <c r="E133" s="6" t="str">
        <v/>
      </c>
      <c r="F133" s="6" t="str">
        <f>SUMPRODUCT(--((G133:M133&lt;&gt;"")*( G133:M133&lt;&gt;0)))</f>
        <v/>
      </c>
      <c r="G133" s="6" t="str">
        <v/>
      </c>
      <c r="H133" s="6" t="str">
        <v/>
      </c>
      <c r="I133" s="6" t="str">
        <v/>
      </c>
      <c r="J133" s="6" t="str">
        <v/>
      </c>
      <c r="K133" s="6" t="str">
        <v/>
      </c>
      <c r="L133" s="6" t="str">
        <v/>
      </c>
      <c r="M133" s="6" t="str">
        <v/>
      </c>
    </row>
    <row r="134">
      <c r="A134" s="8" t="str">
        <v>MARK008 Manoeuvre a vessel up to 24 metres within Near Coastal waters</v>
      </c>
      <c r="B134" s="9" t="str">
        <v>3. Manoeuvre vessel in emergencies</v>
      </c>
      <c r="C134" s="9" t="str">
        <v>3.5</v>
      </c>
      <c r="D134" s="10" t="str">
        <v>Propulsion equipment is used and monitored to assist in completing actions safely</v>
      </c>
      <c r="E134" s="9" t="str">
        <v/>
      </c>
      <c r="F134" s="9" t="str">
        <f>SUMPRODUCT(--((G134:M134&lt;&gt;"")*( G134:M134&lt;&gt;0)))</f>
        <v/>
      </c>
      <c r="G134" s="9" t="str">
        <v/>
      </c>
      <c r="H134" s="9" t="str">
        <v/>
      </c>
      <c r="I134" s="9" t="str">
        <v/>
      </c>
      <c r="J134" s="9" t="str">
        <v/>
      </c>
      <c r="K134" s="9" t="str">
        <v/>
      </c>
      <c r="L134" s="9" t="str">
        <v/>
      </c>
      <c r="M134" s="11" t="str">
        <v/>
      </c>
    </row>
    <row r="135">
      <c r="A135" s="6" t="str">
        <v>MARK008 Manoeuvre a vessel up to 24 metres within Near Coastal waters</v>
      </c>
      <c r="B135" s="6" t="str">
        <v>3. Manoeuvre vessel in emergencies</v>
      </c>
      <c r="C135" s="6" t="str">
        <v>3.6</v>
      </c>
      <c r="D135" s="7" t="str">
        <v>Safe operating limits of propulsion and steering equipment are not exceeded</v>
      </c>
      <c r="E135" s="6" t="str">
        <v/>
      </c>
      <c r="F135" s="6" t="str">
        <f>SUMPRODUCT(--((G135:M135&lt;&gt;"")*( G135:M135&lt;&gt;0)))</f>
        <v/>
      </c>
      <c r="G135" s="6" t="str">
        <v/>
      </c>
      <c r="H135" s="6" t="str">
        <v/>
      </c>
      <c r="I135" s="6" t="str">
        <v/>
      </c>
      <c r="J135" s="6" t="str">
        <v/>
      </c>
      <c r="K135" s="6" t="str">
        <v/>
      </c>
      <c r="L135" s="6" t="str">
        <v/>
      </c>
      <c r="M135" s="6" t="str">
        <v/>
      </c>
    </row>
    <row r="136">
      <c r="A136" s="8" t="str">
        <v>MARK008 Manoeuvre a vessel up to 24 metres within Near Coastal waters</v>
      </c>
      <c r="B136" s="9" t="str">
        <v>4. Tow and be towed</v>
      </c>
      <c r="C136" s="9" t="str">
        <v>4.1</v>
      </c>
      <c r="D136" s="10" t="str">
        <v>Preparations for towing are safely made according to established nautical practice</v>
      </c>
      <c r="E136" s="9" t="str">
        <v/>
      </c>
      <c r="F136" s="9" t="str">
        <f>SUMPRODUCT(--((G136:M136&lt;&gt;"")*( G136:M136&lt;&gt;0)))</f>
        <v/>
      </c>
      <c r="G136" s="9" t="str">
        <v/>
      </c>
      <c r="H136" s="9" t="str">
        <v/>
      </c>
      <c r="I136" s="9" t="str">
        <v/>
      </c>
      <c r="J136" s="9" t="str">
        <v/>
      </c>
      <c r="K136" s="9" t="str">
        <v/>
      </c>
      <c r="L136" s="9" t="str">
        <v/>
      </c>
      <c r="M136" s="11" t="str">
        <v/>
      </c>
    </row>
    <row r="137">
      <c r="A137" s="6" t="str">
        <v>MARK008 Manoeuvre a vessel up to 24 metres within Near Coastal waters</v>
      </c>
      <c r="B137" s="6" t="str">
        <v>4. Tow and be towed</v>
      </c>
      <c r="C137" s="6" t="str">
        <v>4.2</v>
      </c>
      <c r="D137" s="7" t="str">
        <v>Correct towing procedures and precautions are applied when towing and being towed</v>
      </c>
      <c r="E137" s="6" t="str">
        <v/>
      </c>
      <c r="F137" s="6" t="str">
        <f>SUMPRODUCT(--((G137:M137&lt;&gt;"")*( G137:M137&lt;&gt;0)))</f>
        <v/>
      </c>
      <c r="G137" s="6" t="str">
        <v/>
      </c>
      <c r="H137" s="6" t="str">
        <v/>
      </c>
      <c r="I137" s="6" t="str">
        <v/>
      </c>
      <c r="J137" s="6" t="str">
        <v/>
      </c>
      <c r="K137" s="6" t="str">
        <v/>
      </c>
      <c r="L137" s="6" t="str">
        <v/>
      </c>
      <c r="M137" s="6" t="str">
        <v/>
      </c>
    </row>
    <row r="138">
      <c r="A138" s="8" t="str">
        <v>MARK008 Manoeuvre a vessel up to 24 metres within Near Coastal waters</v>
      </c>
      <c r="B138" s="9" t="str">
        <v>Performance Evidence</v>
      </c>
      <c r="C138" s="9" t="str">
        <v>P1</v>
      </c>
      <c r="D138" s="10" t="str">
        <v>Anchoring a vessel</v>
      </c>
      <c r="E138" s="9" t="str">
        <v/>
      </c>
      <c r="F138" s="9" t="str">
        <f>SUMPRODUCT(--((G138:M138&lt;&gt;"")*( G138:M138&lt;&gt;0)))</f>
        <v/>
      </c>
      <c r="G138" s="9" t="str">
        <v/>
      </c>
      <c r="H138" s="9" t="str">
        <v/>
      </c>
      <c r="I138" s="9" t="str">
        <v/>
      </c>
      <c r="J138" s="9" t="str">
        <v/>
      </c>
      <c r="K138" s="9" t="str">
        <v/>
      </c>
      <c r="L138" s="9" t="str">
        <v/>
      </c>
      <c r="M138" s="11" t="str">
        <v/>
      </c>
    </row>
    <row r="139">
      <c r="A139" s="6" t="str">
        <v>MARK008 Manoeuvre a vessel up to 24 metres within Near Coastal waters</v>
      </c>
      <c r="B139" s="6" t="str">
        <v>Performance Evidence</v>
      </c>
      <c r="C139" s="6" t="str">
        <v>P2</v>
      </c>
      <c r="D139" s="7" t="str">
        <v>Determining required actions for a range of emergency situations</v>
      </c>
      <c r="E139" s="6" t="str">
        <v/>
      </c>
      <c r="F139" s="6" t="str">
        <f>SUMPRODUCT(--((G139:M139&lt;&gt;"")*( G139:M139&lt;&gt;0)))</f>
        <v/>
      </c>
      <c r="G139" s="6" t="str">
        <v/>
      </c>
      <c r="H139" s="6" t="str">
        <v/>
      </c>
      <c r="I139" s="6" t="str">
        <v/>
      </c>
      <c r="J139" s="6" t="str">
        <v/>
      </c>
      <c r="K139" s="6" t="str">
        <v/>
      </c>
      <c r="L139" s="6" t="str">
        <v/>
      </c>
      <c r="M139" s="6" t="str">
        <v/>
      </c>
    </row>
    <row r="140">
      <c r="A140" s="8" t="str">
        <v>MARK008 Manoeuvre a vessel up to 24 metres within Near Coastal waters</v>
      </c>
      <c r="B140" s="9" t="str">
        <v>Performance Evidence</v>
      </c>
      <c r="C140" s="9" t="str">
        <v>P3</v>
      </c>
      <c r="D140" s="10" t="str">
        <v>Handling a disabled or partially disabled vessel</v>
      </c>
      <c r="E140" s="9" t="str">
        <v/>
      </c>
      <c r="F140" s="9" t="str">
        <f>SUMPRODUCT(--((G140:M140&lt;&gt;"")*( G140:M140&lt;&gt;0)))</f>
        <v/>
      </c>
      <c r="G140" s="9" t="str">
        <v/>
      </c>
      <c r="H140" s="9" t="str">
        <v/>
      </c>
      <c r="I140" s="9" t="str">
        <v/>
      </c>
      <c r="J140" s="9" t="str">
        <v/>
      </c>
      <c r="K140" s="9" t="str">
        <v/>
      </c>
      <c r="L140" s="9" t="str">
        <v/>
      </c>
      <c r="M140" s="11" t="str">
        <v/>
      </c>
    </row>
    <row r="141">
      <c r="A141" s="6" t="str">
        <v>MARK008 Manoeuvre a vessel up to 24 metres within Near Coastal waters</v>
      </c>
      <c r="B141" s="6" t="str">
        <v>Performance Evidence</v>
      </c>
      <c r="C141" s="6" t="str">
        <v>P4</v>
      </c>
      <c r="D141" s="7" t="str">
        <v>Issuing helm and engine orders</v>
      </c>
      <c r="E141" s="6" t="str">
        <v/>
      </c>
      <c r="F141" s="6" t="str">
        <f>SUMPRODUCT(--((G141:M141&lt;&gt;"")*( G141:M141&lt;&gt;0)))</f>
        <v/>
      </c>
      <c r="G141" s="6" t="str">
        <v/>
      </c>
      <c r="H141" s="6" t="str">
        <v/>
      </c>
      <c r="I141" s="6" t="str">
        <v/>
      </c>
      <c r="J141" s="6" t="str">
        <v/>
      </c>
      <c r="K141" s="6" t="str">
        <v/>
      </c>
      <c r="L141" s="6" t="str">
        <v/>
      </c>
      <c r="M141" s="6" t="str">
        <v/>
      </c>
    </row>
    <row r="142" xml:space="preserve">
      <c r="A142" s="8" t="str">
        <v>MARK008 Manoeuvre a vessel up to 24 metres within Near Coastal waters</v>
      </c>
      <c r="B142" s="9" t="str">
        <v>Performance Evidence</v>
      </c>
      <c r="C142" s="9" t="str">
        <v>P5</v>
      </c>
      <c r="D142" s="10" t="str" xml:space="preserve">
        <v xml:space="preserve">Maintaining situational awareness, and:
-	own vessel position in relation to shallow water and other obstructions
-	vessels in the vicinity
-	weather conditions that may affect the manoeuvre</v>
      </c>
      <c r="E142" s="9" t="str">
        <v/>
      </c>
      <c r="F142" s="9" t="str">
        <f>SUMPRODUCT(--((G142:M142&lt;&gt;"")*( G142:M142&lt;&gt;0)))</f>
        <v/>
      </c>
      <c r="G142" s="9" t="str">
        <v/>
      </c>
      <c r="H142" s="9" t="str">
        <v/>
      </c>
      <c r="I142" s="9" t="str">
        <v/>
      </c>
      <c r="J142" s="9" t="str">
        <v/>
      </c>
      <c r="K142" s="9" t="str">
        <v/>
      </c>
      <c r="L142" s="9" t="str">
        <v/>
      </c>
      <c r="M142" s="11" t="str">
        <v/>
      </c>
    </row>
    <row r="143">
      <c r="A143" s="6" t="str">
        <v>MARK008 Manoeuvre a vessel up to 24 metres within Near Coastal waters</v>
      </c>
      <c r="B143" s="6" t="str">
        <v>Performance Evidence</v>
      </c>
      <c r="C143" s="6" t="str">
        <v>P6</v>
      </c>
      <c r="D143" s="7" t="str">
        <v>Manoeuvring a vessel astern</v>
      </c>
      <c r="E143" s="6" t="str">
        <v/>
      </c>
      <c r="F143" s="6" t="str">
        <f>SUMPRODUCT(--((G143:M143&lt;&gt;"")*( G143:M143&lt;&gt;0)))</f>
        <v/>
      </c>
      <c r="G143" s="6" t="str">
        <v/>
      </c>
      <c r="H143" s="6" t="str">
        <v/>
      </c>
      <c r="I143" s="6" t="str">
        <v/>
      </c>
      <c r="J143" s="6" t="str">
        <v/>
      </c>
      <c r="K143" s="6" t="str">
        <v/>
      </c>
      <c r="L143" s="6" t="str">
        <v/>
      </c>
      <c r="M143" s="6" t="str">
        <v/>
      </c>
    </row>
    <row r="144" xml:space="preserve">
      <c r="A144" s="8" t="str">
        <v>MARK008 Manoeuvre a vessel up to 24 metres within Near Coastal waters</v>
      </c>
      <c r="B144" s="9" t="str">
        <v>Performance Evidence</v>
      </c>
      <c r="C144" s="9" t="str">
        <v>P7</v>
      </c>
      <c r="D144" s="10" t="str" xml:space="preserve">
        <v xml:space="preserve">Manoeuvring a vessel in adverse weather conditions, and:
-	reducing speed
-	seeking shelter
-	steering a course to minimise the effect of wind and sea</v>
      </c>
      <c r="E144" s="9" t="str">
        <v/>
      </c>
      <c r="F144" s="9" t="str">
        <f>SUMPRODUCT(--((G144:M144&lt;&gt;"")*( G144:M144&lt;&gt;0)))</f>
        <v/>
      </c>
      <c r="G144" s="9" t="str">
        <v/>
      </c>
      <c r="H144" s="9" t="str">
        <v/>
      </c>
      <c r="I144" s="9" t="str">
        <v/>
      </c>
      <c r="J144" s="9" t="str">
        <v/>
      </c>
      <c r="K144" s="9" t="str">
        <v/>
      </c>
      <c r="L144" s="9" t="str">
        <v/>
      </c>
      <c r="M144" s="11" t="str">
        <v/>
      </c>
    </row>
    <row r="145" xml:space="preserve">
      <c r="A145" s="6" t="str">
        <v>MARK008 Manoeuvre a vessel up to 24 metres within Near Coastal waters</v>
      </c>
      <c r="B145" s="6" t="str">
        <v>Performance Evidence</v>
      </c>
      <c r="C145" s="6" t="str">
        <v>P8</v>
      </c>
      <c r="D145" s="7" t="str" xml:space="preserve">
        <v xml:space="preserve">Manoeuvring a vessel to and:
-	approach an anchorage
-	berth and leave a berth
-	come to and leave a mooring
-	safely launch and retrieve boats or life rafts
-	turn across the tide or across the wind
-	turn short around</v>
      </c>
      <c r="E145" s="6" t="str">
        <v/>
      </c>
      <c r="F145" s="6" t="str">
        <f>SUMPRODUCT(--((G145:M145&lt;&gt;"")*( G145:M145&lt;&gt;0)))</f>
        <v/>
      </c>
      <c r="G145" s="6" t="str">
        <v/>
      </c>
      <c r="H145" s="6" t="str">
        <v/>
      </c>
      <c r="I145" s="6" t="str">
        <v/>
      </c>
      <c r="J145" s="6" t="str">
        <v/>
      </c>
      <c r="K145" s="6" t="str">
        <v/>
      </c>
      <c r="L145" s="6" t="str">
        <v/>
      </c>
      <c r="M145" s="6" t="str">
        <v/>
      </c>
    </row>
    <row r="146">
      <c r="A146" s="8" t="str">
        <v>MARK008 Manoeuvre a vessel up to 24 metres within Near Coastal waters</v>
      </c>
      <c r="B146" s="9" t="str">
        <v>Performance Evidence</v>
      </c>
      <c r="C146" s="9" t="str">
        <v>P9</v>
      </c>
      <c r="D146" s="10" t="str">
        <v>Operating secondary or emergency means of steering</v>
      </c>
      <c r="E146" s="9" t="str">
        <v/>
      </c>
      <c r="F146" s="9" t="str">
        <f>SUMPRODUCT(--((G146:M146&lt;&gt;"")*( G146:M146&lt;&gt;0)))</f>
        <v/>
      </c>
      <c r="G146" s="9" t="str">
        <v/>
      </c>
      <c r="H146" s="9" t="str">
        <v/>
      </c>
      <c r="I146" s="9" t="str">
        <v/>
      </c>
      <c r="J146" s="9" t="str">
        <v/>
      </c>
      <c r="K146" s="9" t="str">
        <v/>
      </c>
      <c r="L146" s="9" t="str">
        <v/>
      </c>
      <c r="M146" s="11" t="str">
        <v/>
      </c>
    </row>
    <row r="147" xml:space="preserve">
      <c r="A147" s="6" t="str">
        <v>MARK008 Manoeuvre a vessel up to 24 metres within Near Coastal waters</v>
      </c>
      <c r="B147" s="6" t="str">
        <v>Performance Evidence</v>
      </c>
      <c r="C147" s="6" t="str">
        <v>P10</v>
      </c>
      <c r="D147" s="7" t="str" xml:space="preserve">
        <v xml:space="preserve">Rescuing a person overboard, and:
-	manoeuvring to retrieve person overboard
-	Williamson turn</v>
      </c>
      <c r="E147" s="6" t="str">
        <v/>
      </c>
      <c r="F147" s="6" t="str">
        <f>SUMPRODUCT(--((G147:M147&lt;&gt;"")*( G147:M147&lt;&gt;0)))</f>
        <v/>
      </c>
      <c r="G147" s="6" t="str">
        <v/>
      </c>
      <c r="H147" s="6" t="str">
        <v/>
      </c>
      <c r="I147" s="6" t="str">
        <v/>
      </c>
      <c r="J147" s="6" t="str">
        <v/>
      </c>
      <c r="K147" s="6" t="str">
        <v/>
      </c>
      <c r="L147" s="6" t="str">
        <v/>
      </c>
      <c r="M147" s="6" t="str">
        <v/>
      </c>
    </row>
    <row r="148">
      <c r="A148" s="8" t="str">
        <v>MARK008 Manoeuvre a vessel up to 24 metres within Near Coastal waters</v>
      </c>
      <c r="B148" s="9" t="str">
        <v>Performance Evidence</v>
      </c>
      <c r="C148" s="9" t="str">
        <v>P11</v>
      </c>
      <c r="D148" s="10" t="str">
        <v>Towing and being towed</v>
      </c>
      <c r="E148" s="9" t="str">
        <v/>
      </c>
      <c r="F148" s="9" t="str">
        <f>SUMPRODUCT(--((G148:M148&lt;&gt;"")*( G148:M148&lt;&gt;0)))</f>
        <v/>
      </c>
      <c r="G148" s="9" t="str">
        <v/>
      </c>
      <c r="H148" s="9" t="str">
        <v/>
      </c>
      <c r="I148" s="9" t="str">
        <v/>
      </c>
      <c r="J148" s="9" t="str">
        <v/>
      </c>
      <c r="K148" s="9" t="str">
        <v/>
      </c>
      <c r="L148" s="9" t="str">
        <v/>
      </c>
      <c r="M148" s="11" t="str">
        <v/>
      </c>
    </row>
    <row r="149">
      <c r="A149" s="6" t="str">
        <v>MARK008 Manoeuvre a vessel up to 24 metres within Near Coastal waters</v>
      </c>
      <c r="B149" s="6" t="str">
        <v>Performance Evidence</v>
      </c>
      <c r="C149" s="6" t="str">
        <v>P12</v>
      </c>
      <c r="D149" s="7" t="str">
        <v>Undertaking preparations for towing.</v>
      </c>
      <c r="E149" s="6" t="str">
        <v/>
      </c>
      <c r="F149" s="6" t="str">
        <f>SUMPRODUCT(--((G149:M149&lt;&gt;"")*( G149:M149&lt;&gt;0)))</f>
        <v/>
      </c>
      <c r="G149" s="6" t="str">
        <v/>
      </c>
      <c r="H149" s="6" t="str">
        <v/>
      </c>
      <c r="I149" s="6" t="str">
        <v/>
      </c>
      <c r="J149" s="6" t="str">
        <v/>
      </c>
      <c r="K149" s="6" t="str">
        <v/>
      </c>
      <c r="L149" s="6" t="str">
        <v/>
      </c>
      <c r="M149" s="6" t="str">
        <v/>
      </c>
    </row>
    <row r="150">
      <c r="A150" s="8" t="str">
        <v>MARK008 Manoeuvre a vessel up to 24 metres within Near Coastal waters</v>
      </c>
      <c r="B150" s="9" t="str">
        <v>Performance Evidence</v>
      </c>
      <c r="C150" s="9" t="str">
        <v>P13</v>
      </c>
      <c r="D150" s="10" t="str">
        <v>Own vessel position in relation to shallow water and other obstructions</v>
      </c>
      <c r="E150" s="9" t="str">
        <v/>
      </c>
      <c r="F150" s="9" t="str">
        <f>SUMPRODUCT(--((G150:M150&lt;&gt;"")*( G150:M150&lt;&gt;0)))</f>
        <v/>
      </c>
      <c r="G150" s="9" t="str">
        <v/>
      </c>
      <c r="H150" s="9" t="str">
        <v/>
      </c>
      <c r="I150" s="9" t="str">
        <v/>
      </c>
      <c r="J150" s="9" t="str">
        <v/>
      </c>
      <c r="K150" s="9" t="str">
        <v/>
      </c>
      <c r="L150" s="9" t="str">
        <v/>
      </c>
      <c r="M150" s="11" t="str">
        <v/>
      </c>
    </row>
    <row r="151">
      <c r="A151" s="6" t="str">
        <v>MARK008 Manoeuvre a vessel up to 24 metres within Near Coastal waters</v>
      </c>
      <c r="B151" s="6" t="str">
        <v>Performance Evidence</v>
      </c>
      <c r="C151" s="6" t="str">
        <v>P14</v>
      </c>
      <c r="D151" s="7" t="str">
        <v>Vessels in the vicinity</v>
      </c>
      <c r="E151" s="6" t="str">
        <v/>
      </c>
      <c r="F151" s="6" t="str">
        <f>SUMPRODUCT(--((G151:M151&lt;&gt;"")*( G151:M151&lt;&gt;0)))</f>
        <v/>
      </c>
      <c r="G151" s="6" t="str">
        <v/>
      </c>
      <c r="H151" s="6" t="str">
        <v/>
      </c>
      <c r="I151" s="6" t="str">
        <v/>
      </c>
      <c r="J151" s="6" t="str">
        <v/>
      </c>
      <c r="K151" s="6" t="str">
        <v/>
      </c>
      <c r="L151" s="6" t="str">
        <v/>
      </c>
      <c r="M151" s="6" t="str">
        <v/>
      </c>
    </row>
    <row r="152">
      <c r="A152" s="8" t="str">
        <v>MARK008 Manoeuvre a vessel up to 24 metres within Near Coastal waters</v>
      </c>
      <c r="B152" s="9" t="str">
        <v>Performance Evidence</v>
      </c>
      <c r="C152" s="9" t="str">
        <v>P15</v>
      </c>
      <c r="D152" s="10" t="str">
        <v>Weather conditions that may affect the manoeuvre</v>
      </c>
      <c r="E152" s="9" t="str">
        <v/>
      </c>
      <c r="F152" s="9" t="str">
        <f>SUMPRODUCT(--((G152:M152&lt;&gt;"")*( G152:M152&lt;&gt;0)))</f>
        <v/>
      </c>
      <c r="G152" s="9" t="str">
        <v/>
      </c>
      <c r="H152" s="9" t="str">
        <v/>
      </c>
      <c r="I152" s="9" t="str">
        <v/>
      </c>
      <c r="J152" s="9" t="str">
        <v/>
      </c>
      <c r="K152" s="9" t="str">
        <v/>
      </c>
      <c r="L152" s="9" t="str">
        <v/>
      </c>
      <c r="M152" s="11" t="str">
        <v/>
      </c>
    </row>
    <row r="153">
      <c r="A153" s="6" t="str">
        <v>MARK008 Manoeuvre a vessel up to 24 metres within Near Coastal waters</v>
      </c>
      <c r="B153" s="6" t="str">
        <v>Performance Evidence</v>
      </c>
      <c r="C153" s="6" t="str">
        <v>P16</v>
      </c>
      <c r="D153" s="7" t="str">
        <v>Reducing speed</v>
      </c>
      <c r="E153" s="6" t="str">
        <v/>
      </c>
      <c r="F153" s="6" t="str">
        <f>SUMPRODUCT(--((G153:M153&lt;&gt;"")*( G153:M153&lt;&gt;0)))</f>
        <v/>
      </c>
      <c r="G153" s="6" t="str">
        <v/>
      </c>
      <c r="H153" s="6" t="str">
        <v/>
      </c>
      <c r="I153" s="6" t="str">
        <v/>
      </c>
      <c r="J153" s="6" t="str">
        <v/>
      </c>
      <c r="K153" s="6" t="str">
        <v/>
      </c>
      <c r="L153" s="6" t="str">
        <v/>
      </c>
      <c r="M153" s="6" t="str">
        <v/>
      </c>
    </row>
    <row r="154">
      <c r="A154" s="8" t="str">
        <v>MARK008 Manoeuvre a vessel up to 24 metres within Near Coastal waters</v>
      </c>
      <c r="B154" s="9" t="str">
        <v>Performance Evidence</v>
      </c>
      <c r="C154" s="9" t="str">
        <v>P17</v>
      </c>
      <c r="D154" s="10" t="str">
        <v>Seeking shelter</v>
      </c>
      <c r="E154" s="9" t="str">
        <v/>
      </c>
      <c r="F154" s="9" t="str">
        <f>SUMPRODUCT(--((G154:M154&lt;&gt;"")*( G154:M154&lt;&gt;0)))</f>
        <v/>
      </c>
      <c r="G154" s="9" t="str">
        <v/>
      </c>
      <c r="H154" s="9" t="str">
        <v/>
      </c>
      <c r="I154" s="9" t="str">
        <v/>
      </c>
      <c r="J154" s="9" t="str">
        <v/>
      </c>
      <c r="K154" s="9" t="str">
        <v/>
      </c>
      <c r="L154" s="9" t="str">
        <v/>
      </c>
      <c r="M154" s="11" t="str">
        <v/>
      </c>
    </row>
    <row r="155">
      <c r="A155" s="6" t="str">
        <v>MARK008 Manoeuvre a vessel up to 24 metres within Near Coastal waters</v>
      </c>
      <c r="B155" s="6" t="str">
        <v>Performance Evidence</v>
      </c>
      <c r="C155" s="6" t="str">
        <v>P18</v>
      </c>
      <c r="D155" s="7" t="str">
        <v>Steering a course to minimise the effect of wind and sea</v>
      </c>
      <c r="E155" s="6" t="str">
        <v/>
      </c>
      <c r="F155" s="6" t="str">
        <f>SUMPRODUCT(--((G155:M155&lt;&gt;"")*( G155:M155&lt;&gt;0)))</f>
        <v/>
      </c>
      <c r="G155" s="6" t="str">
        <v/>
      </c>
      <c r="H155" s="6" t="str">
        <v/>
      </c>
      <c r="I155" s="6" t="str">
        <v/>
      </c>
      <c r="J155" s="6" t="str">
        <v/>
      </c>
      <c r="K155" s="6" t="str">
        <v/>
      </c>
      <c r="L155" s="6" t="str">
        <v/>
      </c>
      <c r="M155" s="6" t="str">
        <v/>
      </c>
    </row>
    <row r="156">
      <c r="A156" s="8" t="str">
        <v>MARK008 Manoeuvre a vessel up to 24 metres within Near Coastal waters</v>
      </c>
      <c r="B156" s="9" t="str">
        <v>Performance Evidence</v>
      </c>
      <c r="C156" s="9" t="str">
        <v>P19</v>
      </c>
      <c r="D156" s="10" t="str">
        <v>Approach an anchorage</v>
      </c>
      <c r="E156" s="9" t="str">
        <v/>
      </c>
      <c r="F156" s="9" t="str">
        <f>SUMPRODUCT(--((G156:M156&lt;&gt;"")*( G156:M156&lt;&gt;0)))</f>
        <v/>
      </c>
      <c r="G156" s="9" t="str">
        <v/>
      </c>
      <c r="H156" s="9" t="str">
        <v/>
      </c>
      <c r="I156" s="9" t="str">
        <v/>
      </c>
      <c r="J156" s="9" t="str">
        <v/>
      </c>
      <c r="K156" s="9" t="str">
        <v/>
      </c>
      <c r="L156" s="9" t="str">
        <v/>
      </c>
      <c r="M156" s="11" t="str">
        <v/>
      </c>
    </row>
    <row r="157">
      <c r="A157" s="6" t="str">
        <v>MARK008 Manoeuvre a vessel up to 24 metres within Near Coastal waters</v>
      </c>
      <c r="B157" s="6" t="str">
        <v>Performance Evidence</v>
      </c>
      <c r="C157" s="6" t="str">
        <v>P20</v>
      </c>
      <c r="D157" s="7" t="str">
        <v>Berth and leave a berth</v>
      </c>
      <c r="E157" s="6" t="str">
        <v/>
      </c>
      <c r="F157" s="6" t="str">
        <f>SUMPRODUCT(--((G157:M157&lt;&gt;"")*( G157:M157&lt;&gt;0)))</f>
        <v/>
      </c>
      <c r="G157" s="6" t="str">
        <v/>
      </c>
      <c r="H157" s="6" t="str">
        <v/>
      </c>
      <c r="I157" s="6" t="str">
        <v/>
      </c>
      <c r="J157" s="6" t="str">
        <v/>
      </c>
      <c r="K157" s="6" t="str">
        <v/>
      </c>
      <c r="L157" s="6" t="str">
        <v/>
      </c>
      <c r="M157" s="6" t="str">
        <v/>
      </c>
    </row>
    <row r="158">
      <c r="A158" s="8" t="str">
        <v>MARK008 Manoeuvre a vessel up to 24 metres within Near Coastal waters</v>
      </c>
      <c r="B158" s="9" t="str">
        <v>Performance Evidence</v>
      </c>
      <c r="C158" s="9" t="str">
        <v>P21</v>
      </c>
      <c r="D158" s="10" t="str">
        <v>Come to and leave a mooring</v>
      </c>
      <c r="E158" s="9" t="str">
        <v/>
      </c>
      <c r="F158" s="9" t="str">
        <f>SUMPRODUCT(--((G158:M158&lt;&gt;"")*( G158:M158&lt;&gt;0)))</f>
        <v/>
      </c>
      <c r="G158" s="9" t="str">
        <v/>
      </c>
      <c r="H158" s="9" t="str">
        <v/>
      </c>
      <c r="I158" s="9" t="str">
        <v/>
      </c>
      <c r="J158" s="9" t="str">
        <v/>
      </c>
      <c r="K158" s="9" t="str">
        <v/>
      </c>
      <c r="L158" s="9" t="str">
        <v/>
      </c>
      <c r="M158" s="11" t="str">
        <v/>
      </c>
    </row>
    <row r="159">
      <c r="A159" s="6" t="str">
        <v>MARK008 Manoeuvre a vessel up to 24 metres within Near Coastal waters</v>
      </c>
      <c r="B159" s="6" t="str">
        <v>Performance Evidence</v>
      </c>
      <c r="C159" s="6" t="str">
        <v>P22</v>
      </c>
      <c r="D159" s="7" t="str">
        <v>Safely launch and retrieve boats or life rafts</v>
      </c>
      <c r="E159" s="6" t="str">
        <v/>
      </c>
      <c r="F159" s="6" t="str">
        <f>SUMPRODUCT(--((G159:M159&lt;&gt;"")*( G159:M159&lt;&gt;0)))</f>
        <v/>
      </c>
      <c r="G159" s="6" t="str">
        <v/>
      </c>
      <c r="H159" s="6" t="str">
        <v/>
      </c>
      <c r="I159" s="6" t="str">
        <v/>
      </c>
      <c r="J159" s="6" t="str">
        <v/>
      </c>
      <c r="K159" s="6" t="str">
        <v/>
      </c>
      <c r="L159" s="6" t="str">
        <v/>
      </c>
      <c r="M159" s="6" t="str">
        <v/>
      </c>
    </row>
    <row r="160">
      <c r="A160" s="8" t="str">
        <v>MARK008 Manoeuvre a vessel up to 24 metres within Near Coastal waters</v>
      </c>
      <c r="B160" s="9" t="str">
        <v>Performance Evidence</v>
      </c>
      <c r="C160" s="9" t="str">
        <v>P23</v>
      </c>
      <c r="D160" s="10" t="str">
        <v>Turn across the tide or across the wind</v>
      </c>
      <c r="E160" s="9" t="str">
        <v/>
      </c>
      <c r="F160" s="9" t="str">
        <f>SUMPRODUCT(--((G160:M160&lt;&gt;"")*( G160:M160&lt;&gt;0)))</f>
        <v/>
      </c>
      <c r="G160" s="9" t="str">
        <v/>
      </c>
      <c r="H160" s="9" t="str">
        <v/>
      </c>
      <c r="I160" s="9" t="str">
        <v/>
      </c>
      <c r="J160" s="9" t="str">
        <v/>
      </c>
      <c r="K160" s="9" t="str">
        <v/>
      </c>
      <c r="L160" s="9" t="str">
        <v/>
      </c>
      <c r="M160" s="11" t="str">
        <v/>
      </c>
    </row>
    <row r="161">
      <c r="A161" s="6" t="str">
        <v>MARK008 Manoeuvre a vessel up to 24 metres within Near Coastal waters</v>
      </c>
      <c r="B161" s="6" t="str">
        <v>Performance Evidence</v>
      </c>
      <c r="C161" s="6" t="str">
        <v>P24</v>
      </c>
      <c r="D161" s="7" t="str">
        <v>Turn short around</v>
      </c>
      <c r="E161" s="6" t="str">
        <v/>
      </c>
      <c r="F161" s="6" t="str">
        <f>SUMPRODUCT(--((G161:M161&lt;&gt;"")*( G161:M161&lt;&gt;0)))</f>
        <v/>
      </c>
      <c r="G161" s="6" t="str">
        <v/>
      </c>
      <c r="H161" s="6" t="str">
        <v/>
      </c>
      <c r="I161" s="6" t="str">
        <v/>
      </c>
      <c r="J161" s="6" t="str">
        <v/>
      </c>
      <c r="K161" s="6" t="str">
        <v/>
      </c>
      <c r="L161" s="6" t="str">
        <v/>
      </c>
      <c r="M161" s="6" t="str">
        <v/>
      </c>
    </row>
    <row r="162">
      <c r="A162" s="8" t="str">
        <v>MARK008 Manoeuvre a vessel up to 24 metres within Near Coastal waters</v>
      </c>
      <c r="B162" s="9" t="str">
        <v>Performance Evidence</v>
      </c>
      <c r="C162" s="9" t="str">
        <v>P25</v>
      </c>
      <c r="D162" s="10" t="str">
        <v>Manoeuvring to retrieve person overboard</v>
      </c>
      <c r="E162" s="9" t="str">
        <v/>
      </c>
      <c r="F162" s="9" t="str">
        <f>SUMPRODUCT(--((G162:M162&lt;&gt;"")*( G162:M162&lt;&gt;0)))</f>
        <v/>
      </c>
      <c r="G162" s="9" t="str">
        <v/>
      </c>
      <c r="H162" s="9" t="str">
        <v/>
      </c>
      <c r="I162" s="9" t="str">
        <v/>
      </c>
      <c r="J162" s="9" t="str">
        <v/>
      </c>
      <c r="K162" s="9" t="str">
        <v/>
      </c>
      <c r="L162" s="9" t="str">
        <v/>
      </c>
      <c r="M162" s="11" t="str">
        <v/>
      </c>
    </row>
    <row r="163">
      <c r="A163" s="6" t="str">
        <v>MARK008 Manoeuvre a vessel up to 24 metres within Near Coastal waters</v>
      </c>
      <c r="B163" s="6" t="str">
        <v>Performance Evidence</v>
      </c>
      <c r="C163" s="6" t="str">
        <v>P26</v>
      </c>
      <c r="D163" s="7" t="str">
        <v>Williamson turn</v>
      </c>
      <c r="E163" s="6" t="str">
        <v/>
      </c>
      <c r="F163" s="6" t="str">
        <f>SUMPRODUCT(--((G163:M163&lt;&gt;"")*( G163:M163&lt;&gt;0)))</f>
        <v/>
      </c>
      <c r="G163" s="6" t="str">
        <v/>
      </c>
      <c r="H163" s="6" t="str">
        <v/>
      </c>
      <c r="I163" s="6" t="str">
        <v/>
      </c>
      <c r="J163" s="6" t="str">
        <v/>
      </c>
      <c r="K163" s="6" t="str">
        <v/>
      </c>
      <c r="L163" s="6" t="str">
        <v/>
      </c>
      <c r="M163" s="6" t="str">
        <v/>
      </c>
    </row>
    <row r="164">
      <c r="A164" s="8" t="str">
        <v>MARK008 Manoeuvre a vessel up to 24 metres within Near Coastal waters</v>
      </c>
      <c r="B164" s="9" t="str">
        <v>Knowledge Evidence</v>
      </c>
      <c r="C164" s="9" t="str">
        <v>K1</v>
      </c>
      <c r="D164" s="10" t="str">
        <v>Appropriate reports to be made for authorities when towing</v>
      </c>
      <c r="E164" s="9" t="str">
        <v/>
      </c>
      <c r="F164" s="9" t="str">
        <f>SUMPRODUCT(--((G164:M164&lt;&gt;"")*( G164:M164&lt;&gt;0)))</f>
        <v/>
      </c>
      <c r="G164" s="9" t="str">
        <v/>
      </c>
      <c r="H164" s="9" t="str">
        <v/>
      </c>
      <c r="I164" s="9" t="str">
        <v/>
      </c>
      <c r="J164" s="9" t="str">
        <v/>
      </c>
      <c r="K164" s="9" t="str">
        <v/>
      </c>
      <c r="L164" s="9" t="str">
        <v/>
      </c>
      <c r="M164" s="11" t="str">
        <v/>
      </c>
    </row>
    <row r="165">
      <c r="A165" s="6" t="str">
        <v>MARK008 Manoeuvre a vessel up to 24 metres within Near Coastal waters</v>
      </c>
      <c r="B165" s="6" t="str">
        <v>Knowledge Evidence</v>
      </c>
      <c r="C165" s="6" t="str">
        <v>K2</v>
      </c>
      <c r="D165" s="7" t="str">
        <v>Deployment and use of sea anchor to keep vessel head to sea</v>
      </c>
      <c r="E165" s="6" t="str">
        <v/>
      </c>
      <c r="F165" s="6" t="str">
        <f>SUMPRODUCT(--((G165:M165&lt;&gt;"")*( G165:M165&lt;&gt;0)))</f>
        <v/>
      </c>
      <c r="G165" s="6" t="str">
        <v/>
      </c>
      <c r="H165" s="6" t="str">
        <v/>
      </c>
      <c r="I165" s="6" t="str">
        <v/>
      </c>
      <c r="J165" s="6" t="str">
        <v/>
      </c>
      <c r="K165" s="6" t="str">
        <v/>
      </c>
      <c r="L165" s="6" t="str">
        <v/>
      </c>
      <c r="M165" s="6" t="str">
        <v/>
      </c>
    </row>
    <row r="166">
      <c r="A166" s="8" t="str">
        <v>MARK008 Manoeuvre a vessel up to 24 metres within Near Coastal waters</v>
      </c>
      <c r="B166" s="9" t="str">
        <v>Knowledge Evidence</v>
      </c>
      <c r="C166" s="9" t="str">
        <v>K3</v>
      </c>
      <c r="D166" s="10" t="str">
        <v>Effects of interaction with passing or moored vessels</v>
      </c>
      <c r="E166" s="9" t="str">
        <v/>
      </c>
      <c r="F166" s="9" t="str">
        <f>SUMPRODUCT(--((G166:M166&lt;&gt;"")*( G166:M166&lt;&gt;0)))</f>
        <v/>
      </c>
      <c r="G166" s="9" t="str">
        <v/>
      </c>
      <c r="H166" s="9" t="str">
        <v/>
      </c>
      <c r="I166" s="9" t="str">
        <v/>
      </c>
      <c r="J166" s="9" t="str">
        <v/>
      </c>
      <c r="K166" s="9" t="str">
        <v/>
      </c>
      <c r="L166" s="9" t="str">
        <v/>
      </c>
      <c r="M166" s="11" t="str">
        <v/>
      </c>
    </row>
    <row r="167">
      <c r="A167" s="6" t="str">
        <v>MARK008 Manoeuvre a vessel up to 24 metres within Near Coastal waters</v>
      </c>
      <c r="B167" s="6" t="str">
        <v>Knowledge Evidence</v>
      </c>
      <c r="C167" s="6" t="str">
        <v>K4</v>
      </c>
      <c r="D167" s="7" t="str">
        <v>Effects of trim and displacement on the manoeuvring characteristics of a vessel</v>
      </c>
      <c r="E167" s="6" t="str">
        <v/>
      </c>
      <c r="F167" s="6" t="str">
        <f>SUMPRODUCT(--((G167:M167&lt;&gt;"")*( G167:M167&lt;&gt;0)))</f>
        <v/>
      </c>
      <c r="G167" s="6" t="str">
        <v/>
      </c>
      <c r="H167" s="6" t="str">
        <v/>
      </c>
      <c r="I167" s="6" t="str">
        <v/>
      </c>
      <c r="J167" s="6" t="str">
        <v/>
      </c>
      <c r="K167" s="6" t="str">
        <v/>
      </c>
      <c r="L167" s="6" t="str">
        <v/>
      </c>
      <c r="M167" s="6" t="str">
        <v/>
      </c>
    </row>
    <row r="168">
      <c r="A168" s="8" t="str">
        <v>MARK008 Manoeuvre a vessel up to 24 metres within Near Coastal waters</v>
      </c>
      <c r="B168" s="9" t="str">
        <v>Knowledge Evidence</v>
      </c>
      <c r="C168" s="9" t="str">
        <v>K5</v>
      </c>
      <c r="D168" s="10" t="str">
        <v>Factors that could adversely affect vessel safety during operations</v>
      </c>
      <c r="E168" s="9" t="str">
        <v/>
      </c>
      <c r="F168" s="9" t="str">
        <f>SUMPRODUCT(--((G168:M168&lt;&gt;"")*( G168:M168&lt;&gt;0)))</f>
        <v/>
      </c>
      <c r="G168" s="9" t="str">
        <v/>
      </c>
      <c r="H168" s="9" t="str">
        <v/>
      </c>
      <c r="I168" s="9" t="str">
        <v/>
      </c>
      <c r="J168" s="9" t="str">
        <v/>
      </c>
      <c r="K168" s="9" t="str">
        <v/>
      </c>
      <c r="L168" s="9" t="str">
        <v/>
      </c>
      <c r="M168" s="11" t="str">
        <v/>
      </c>
    </row>
    <row r="169" xml:space="preserve">
      <c r="A169" s="6" t="str">
        <v>MARK008 Manoeuvre a vessel up to 24 metres within Near Coastal waters</v>
      </c>
      <c r="B169" s="6" t="str">
        <v>Knowledge Evidence</v>
      </c>
      <c r="C169" s="6" t="str">
        <v>K6</v>
      </c>
      <c r="D169" s="7" t="str" xml:space="preserve">
        <v xml:space="preserve">Features of a vessel that relate to its handling characteristics, and their effects, includes:
-	displacement and planing hulls
-	propellers
-	propulsion units, including:
-	inboard engines
-	inboard-outboard engines
-	jet propulsion
-	outboard engines
-	rudders</v>
      </c>
      <c r="E169" s="6" t="str">
        <v/>
      </c>
      <c r="F169" s="6" t="str">
        <f>SUMPRODUCT(--((G169:M169&lt;&gt;"")*( G169:M169&lt;&gt;0)))</f>
        <v/>
      </c>
      <c r="G169" s="6" t="str">
        <v/>
      </c>
      <c r="H169" s="6" t="str">
        <v/>
      </c>
      <c r="I169" s="6" t="str">
        <v/>
      </c>
      <c r="J169" s="6" t="str">
        <v/>
      </c>
      <c r="K169" s="6" t="str">
        <v/>
      </c>
      <c r="L169" s="6" t="str">
        <v/>
      </c>
      <c r="M169" s="6" t="str">
        <v/>
      </c>
    </row>
    <row r="170">
      <c r="A170" s="8" t="str">
        <v>MARK008 Manoeuvre a vessel up to 24 metres within Near Coastal waters</v>
      </c>
      <c r="B170" s="9" t="str">
        <v>Knowledge Evidence</v>
      </c>
      <c r="C170" s="9" t="str">
        <v>K7</v>
      </c>
      <c r="D170" s="10" t="str">
        <v>Launching procedures for boats or life rafts</v>
      </c>
      <c r="E170" s="9" t="str">
        <v/>
      </c>
      <c r="F170" s="9" t="str">
        <f>SUMPRODUCT(--((G170:M170&lt;&gt;"")*( G170:M170&lt;&gt;0)))</f>
        <v/>
      </c>
      <c r="G170" s="9" t="str">
        <v/>
      </c>
      <c r="H170" s="9" t="str">
        <v/>
      </c>
      <c r="I170" s="9" t="str">
        <v/>
      </c>
      <c r="J170" s="9" t="str">
        <v/>
      </c>
      <c r="K170" s="9" t="str">
        <v/>
      </c>
      <c r="L170" s="9" t="str">
        <v/>
      </c>
      <c r="M170" s="11" t="str">
        <v/>
      </c>
    </row>
    <row r="171">
      <c r="A171" s="6" t="str">
        <v>MARK008 Manoeuvre a vessel up to 24 metres within Near Coastal waters</v>
      </c>
      <c r="B171" s="6" t="str">
        <v>Knowledge Evidence</v>
      </c>
      <c r="C171" s="6" t="str">
        <v>K8</v>
      </c>
      <c r="D171" s="7" t="str">
        <v>Lessening drift and use of oil</v>
      </c>
      <c r="E171" s="6" t="str">
        <v/>
      </c>
      <c r="F171" s="6" t="str">
        <f>SUMPRODUCT(--((G171:M171&lt;&gt;"")*( G171:M171&lt;&gt;0)))</f>
        <v/>
      </c>
      <c r="G171" s="6" t="str">
        <v/>
      </c>
      <c r="H171" s="6" t="str">
        <v/>
      </c>
      <c r="I171" s="6" t="str">
        <v/>
      </c>
      <c r="J171" s="6" t="str">
        <v/>
      </c>
      <c r="K171" s="6" t="str">
        <v/>
      </c>
      <c r="L171" s="6" t="str">
        <v/>
      </c>
      <c r="M171" s="6" t="str">
        <v/>
      </c>
    </row>
    <row r="172" xml:space="preserve">
      <c r="A172" s="8" t="str">
        <v>MARK008 Manoeuvre a vessel up to 24 metres within Near Coastal waters</v>
      </c>
      <c r="B172" s="9" t="str">
        <v>Knowledge Evidence</v>
      </c>
      <c r="C172" s="9" t="str">
        <v>K9</v>
      </c>
      <c r="D172" s="10" t="str" xml:space="preserve">
        <v xml:space="preserve">Manoeuvring conditions that may affect the safety of the vessel, includes:
-	heading to wind and sea to ride out the adverse weather
-	in a narrow channel or shallow water
-	in fog and restricted visibility
-	in heavy swell and surf
-	in heavy weather
-	to cross a bar with and against the sea</v>
      </c>
      <c r="E172" s="9" t="str">
        <v/>
      </c>
      <c r="F172" s="9" t="str">
        <f>SUMPRODUCT(--((G172:M172&lt;&gt;"")*( G172:M172&lt;&gt;0)))</f>
        <v/>
      </c>
      <c r="G172" s="9" t="str">
        <v/>
      </c>
      <c r="H172" s="9" t="str">
        <v/>
      </c>
      <c r="I172" s="9" t="str">
        <v/>
      </c>
      <c r="J172" s="9" t="str">
        <v/>
      </c>
      <c r="K172" s="9" t="str">
        <v/>
      </c>
      <c r="L172" s="9" t="str">
        <v/>
      </c>
      <c r="M172" s="11" t="str">
        <v/>
      </c>
    </row>
    <row r="173" xml:space="preserve">
      <c r="A173" s="6" t="str">
        <v>MARK008 Manoeuvre a vessel up to 24 metres within Near Coastal waters</v>
      </c>
      <c r="B173" s="6" t="str">
        <v>Knowledge Evidence</v>
      </c>
      <c r="C173" s="6" t="str">
        <v>K10</v>
      </c>
      <c r="D173" s="7" t="str" xml:space="preserve">
        <v xml:space="preserve">Manoeuvring procedures to includes:
-	assist a vessel or aircraft in search and rescue
-	beach and re-float the vessel
-	position for helicopter evacuation</v>
      </c>
      <c r="E173" s="6" t="str">
        <v/>
      </c>
      <c r="F173" s="6" t="str">
        <f>SUMPRODUCT(--((G173:M173&lt;&gt;"")*( G173:M173&lt;&gt;0)))</f>
        <v/>
      </c>
      <c r="G173" s="6" t="str">
        <v/>
      </c>
      <c r="H173" s="6" t="str">
        <v/>
      </c>
      <c r="I173" s="6" t="str">
        <v/>
      </c>
      <c r="J173" s="6" t="str">
        <v/>
      </c>
      <c r="K173" s="6" t="str">
        <v/>
      </c>
      <c r="L173" s="6" t="str">
        <v/>
      </c>
      <c r="M173" s="6" t="str">
        <v/>
      </c>
    </row>
    <row r="174" xml:space="preserve">
      <c r="A174" s="8" t="str">
        <v>MARK008 Manoeuvre a vessel up to 24 metres within Near Coastal waters</v>
      </c>
      <c r="B174" s="9" t="str">
        <v>Knowledge Evidence</v>
      </c>
      <c r="C174" s="9" t="str">
        <v>K11</v>
      </c>
      <c r="D174" s="10" t="str" xml:space="preserve">
        <v xml:space="preserve">Manoeuvring procedures in the event of includes:
-	beaching
-	collision
-	damage to the vessel
-	disabled or partially disabled vessel
-	fire
-	grounding
-	loss of steering gear
-	person overboard</v>
      </c>
      <c r="E174" s="9" t="str">
        <v/>
      </c>
      <c r="F174" s="9" t="str">
        <f>SUMPRODUCT(--((G174:M174&lt;&gt;"")*( G174:M174&lt;&gt;0)))</f>
        <v/>
      </c>
      <c r="G174" s="9" t="str">
        <v/>
      </c>
      <c r="H174" s="9" t="str">
        <v/>
      </c>
      <c r="I174" s="9" t="str">
        <v/>
      </c>
      <c r="J174" s="9" t="str">
        <v/>
      </c>
      <c r="K174" s="9" t="str">
        <v/>
      </c>
      <c r="L174" s="9" t="str">
        <v/>
      </c>
      <c r="M174" s="11" t="str">
        <v/>
      </c>
    </row>
    <row r="175">
      <c r="A175" s="6" t="str">
        <v>MARK008 Manoeuvre a vessel up to 24 metres within Near Coastal waters</v>
      </c>
      <c r="B175" s="6" t="str">
        <v>Knowledge Evidence</v>
      </c>
      <c r="C175" s="6" t="str">
        <v>K12</v>
      </c>
      <c r="D175" s="7" t="str">
        <v>Precautions when manoeuvring or launching boats or life rafts in bad weather</v>
      </c>
      <c r="E175" s="6" t="str">
        <v/>
      </c>
      <c r="F175" s="6" t="str">
        <f>SUMPRODUCT(--((G175:M175&lt;&gt;"")*( G175:M175&lt;&gt;0)))</f>
        <v/>
      </c>
      <c r="G175" s="6" t="str">
        <v/>
      </c>
      <c r="H175" s="6" t="str">
        <v/>
      </c>
      <c r="I175" s="6" t="str">
        <v/>
      </c>
      <c r="J175" s="6" t="str">
        <v/>
      </c>
      <c r="K175" s="6" t="str">
        <v/>
      </c>
      <c r="L175" s="6" t="str">
        <v/>
      </c>
      <c r="M175" s="6" t="str">
        <v/>
      </c>
    </row>
    <row r="176" xml:space="preserve">
      <c r="A176" s="8" t="str">
        <v>MARK008 Manoeuvre a vessel up to 24 metres within Near Coastal waters</v>
      </c>
      <c r="B176" s="9" t="str">
        <v>Knowledge Evidence</v>
      </c>
      <c r="C176" s="9" t="str">
        <v>K13</v>
      </c>
      <c r="D176" s="10" t="str" xml:space="preserve">
        <v xml:space="preserve">Preparations for towing, includes:
-	crew briefings that include the task at hand and risks to persons on both vessels
-	ensuring appropriate lights and shapes for the tow are available and in working order
-	ensuring means of communication between the two vessels is available
-	ensuring tow line is of sufficient length to minimise shock loading on tow-line
-	ensuring tow ropes are in good condition and of adequate strength for the proposed tow
-	making provision for rapid slipping of the tow in emergency situations
-	making tow fast to the towing vessel to ensure steerage can be maintained
-	preparing messenger ropes for passing tow lines</v>
      </c>
      <c r="E176" s="9" t="str">
        <v/>
      </c>
      <c r="F176" s="9" t="str">
        <f>SUMPRODUCT(--((G176:M176&lt;&gt;"")*( G176:M176&lt;&gt;0)))</f>
        <v/>
      </c>
      <c r="G176" s="9" t="str">
        <v/>
      </c>
      <c r="H176" s="9" t="str">
        <v/>
      </c>
      <c r="I176" s="9" t="str">
        <v/>
      </c>
      <c r="J176" s="9" t="str">
        <v/>
      </c>
      <c r="K176" s="9" t="str">
        <v/>
      </c>
      <c r="L176" s="9" t="str">
        <v/>
      </c>
      <c r="M176" s="11" t="str">
        <v/>
      </c>
    </row>
    <row r="177">
      <c r="A177" s="6" t="str">
        <v>MARK008 Manoeuvre a vessel up to 24 metres within Near Coastal waters</v>
      </c>
      <c r="B177" s="6" t="str">
        <v>Knowledge Evidence</v>
      </c>
      <c r="C177" s="6" t="str">
        <v>K14</v>
      </c>
      <c r="D177" s="7" t="str">
        <v>Procedures for towing and being towed</v>
      </c>
      <c r="E177" s="6" t="str">
        <v/>
      </c>
      <c r="F177" s="6" t="str">
        <f>SUMPRODUCT(--((G177:M177&lt;&gt;"")*( G177:M177&lt;&gt;0)))</f>
        <v/>
      </c>
      <c r="G177" s="6" t="str">
        <v/>
      </c>
      <c r="H177" s="6" t="str">
        <v/>
      </c>
      <c r="I177" s="6" t="str">
        <v/>
      </c>
      <c r="J177" s="6" t="str">
        <v/>
      </c>
      <c r="K177" s="6" t="str">
        <v/>
      </c>
      <c r="L177" s="6" t="str">
        <v/>
      </c>
      <c r="M177" s="6" t="str">
        <v/>
      </c>
    </row>
    <row r="178">
      <c r="A178" s="8" t="str">
        <v>MARK008 Manoeuvre a vessel up to 24 metres within Near Coastal waters</v>
      </c>
      <c r="B178" s="9" t="str">
        <v>Knowledge Evidence</v>
      </c>
      <c r="C178" s="9" t="str">
        <v>K15</v>
      </c>
      <c r="D178" s="10" t="str">
        <v>Process and requirement to assist vessels in distress</v>
      </c>
      <c r="E178" s="9" t="str">
        <v/>
      </c>
      <c r="F178" s="9" t="str">
        <f>SUMPRODUCT(--((G178:M178&lt;&gt;"")*( G178:M178&lt;&gt;0)))</f>
        <v/>
      </c>
      <c r="G178" s="9" t="str">
        <v/>
      </c>
      <c r="H178" s="9" t="str">
        <v/>
      </c>
      <c r="I178" s="9" t="str">
        <v/>
      </c>
      <c r="J178" s="9" t="str">
        <v/>
      </c>
      <c r="K178" s="9" t="str">
        <v/>
      </c>
      <c r="L178" s="9" t="str">
        <v/>
      </c>
      <c r="M178" s="11" t="str">
        <v/>
      </c>
    </row>
    <row r="179">
      <c r="A179" s="6" t="str">
        <v>MARK008 Manoeuvre a vessel up to 24 metres within Near Coastal waters</v>
      </c>
      <c r="B179" s="6" t="str">
        <v>Knowledge Evidence</v>
      </c>
      <c r="C179" s="6" t="str">
        <v>K16</v>
      </c>
      <c r="D179" s="7" t="str">
        <v>Work health and safety (WHS)/occupational health and safety (OHS) requirements and safe work practices.</v>
      </c>
      <c r="E179" s="6" t="str">
        <v/>
      </c>
      <c r="F179" s="6" t="str">
        <f>SUMPRODUCT(--((G179:M179&lt;&gt;"")*( G179:M179&lt;&gt;0)))</f>
        <v/>
      </c>
      <c r="G179" s="6" t="str">
        <v/>
      </c>
      <c r="H179" s="6" t="str">
        <v/>
      </c>
      <c r="I179" s="6" t="str">
        <v/>
      </c>
      <c r="J179" s="6" t="str">
        <v/>
      </c>
      <c r="K179" s="6" t="str">
        <v/>
      </c>
      <c r="L179" s="6" t="str">
        <v/>
      </c>
      <c r="M179" s="6" t="str">
        <v/>
      </c>
    </row>
    <row r="180">
      <c r="A180" s="8" t="str">
        <v>MARK008 Manoeuvre a vessel up to 24 metres within Near Coastal waters</v>
      </c>
      <c r="B180" s="9" t="str">
        <v>Knowledge Evidence</v>
      </c>
      <c r="C180" s="9" t="str">
        <v>K17</v>
      </c>
      <c r="D180" s="10" t="str">
        <v>Displacement and planing hulls</v>
      </c>
      <c r="E180" s="9" t="str">
        <v/>
      </c>
      <c r="F180" s="9" t="str">
        <f>SUMPRODUCT(--((G180:M180&lt;&gt;"")*( G180:M180&lt;&gt;0)))</f>
        <v/>
      </c>
      <c r="G180" s="9" t="str">
        <v/>
      </c>
      <c r="H180" s="9" t="str">
        <v/>
      </c>
      <c r="I180" s="9" t="str">
        <v/>
      </c>
      <c r="J180" s="9" t="str">
        <v/>
      </c>
      <c r="K180" s="9" t="str">
        <v/>
      </c>
      <c r="L180" s="9" t="str">
        <v/>
      </c>
      <c r="M180" s="11" t="str">
        <v/>
      </c>
    </row>
    <row r="181">
      <c r="A181" s="6" t="str">
        <v>MARK008 Manoeuvre a vessel up to 24 metres within Near Coastal waters</v>
      </c>
      <c r="B181" s="6" t="str">
        <v>Knowledge Evidence</v>
      </c>
      <c r="C181" s="6" t="str">
        <v>K18</v>
      </c>
      <c r="D181" s="7" t="str">
        <v>Propellers</v>
      </c>
      <c r="E181" s="6" t="str">
        <v/>
      </c>
      <c r="F181" s="6" t="str">
        <f>SUMPRODUCT(--((G181:M181&lt;&gt;"")*( G181:M181&lt;&gt;0)))</f>
        <v/>
      </c>
      <c r="G181" s="6" t="str">
        <v/>
      </c>
      <c r="H181" s="6" t="str">
        <v/>
      </c>
      <c r="I181" s="6" t="str">
        <v/>
      </c>
      <c r="J181" s="6" t="str">
        <v/>
      </c>
      <c r="K181" s="6" t="str">
        <v/>
      </c>
      <c r="L181" s="6" t="str">
        <v/>
      </c>
      <c r="M181" s="6" t="str">
        <v/>
      </c>
    </row>
    <row r="182" xml:space="preserve">
      <c r="A182" s="8" t="str">
        <v>MARK008 Manoeuvre a vessel up to 24 metres within Near Coastal waters</v>
      </c>
      <c r="B182" s="9" t="str">
        <v>Knowledge Evidence</v>
      </c>
      <c r="C182" s="9" t="str">
        <v>K19</v>
      </c>
      <c r="D182" s="10" t="str" xml:space="preserve">
        <v xml:space="preserve">Propulsion units, includes:
-	inboard engines
-	inboard-outboard engines
-	jet propulsion
-	outboard engines</v>
      </c>
      <c r="E182" s="9" t="str">
        <v/>
      </c>
      <c r="F182" s="9" t="str">
        <f>SUMPRODUCT(--((G182:M182&lt;&gt;"")*( G182:M182&lt;&gt;0)))</f>
        <v/>
      </c>
      <c r="G182" s="9" t="str">
        <v/>
      </c>
      <c r="H182" s="9" t="str">
        <v/>
      </c>
      <c r="I182" s="9" t="str">
        <v/>
      </c>
      <c r="J182" s="9" t="str">
        <v/>
      </c>
      <c r="K182" s="9" t="str">
        <v/>
      </c>
      <c r="L182" s="9" t="str">
        <v/>
      </c>
      <c r="M182" s="11" t="str">
        <v/>
      </c>
    </row>
    <row r="183">
      <c r="A183" s="6" t="str">
        <v>MARK008 Manoeuvre a vessel up to 24 metres within Near Coastal waters</v>
      </c>
      <c r="B183" s="6" t="str">
        <v>Knowledge Evidence</v>
      </c>
      <c r="C183" s="6" t="str">
        <v>K20</v>
      </c>
      <c r="D183" s="7" t="str">
        <v>Rudders</v>
      </c>
      <c r="E183" s="6" t="str">
        <v/>
      </c>
      <c r="F183" s="6" t="str">
        <f>SUMPRODUCT(--((G183:M183&lt;&gt;"")*( G183:M183&lt;&gt;0)))</f>
        <v/>
      </c>
      <c r="G183" s="6" t="str">
        <v/>
      </c>
      <c r="H183" s="6" t="str">
        <v/>
      </c>
      <c r="I183" s="6" t="str">
        <v/>
      </c>
      <c r="J183" s="6" t="str">
        <v/>
      </c>
      <c r="K183" s="6" t="str">
        <v/>
      </c>
      <c r="L183" s="6" t="str">
        <v/>
      </c>
      <c r="M183" s="6" t="str">
        <v/>
      </c>
    </row>
    <row r="184">
      <c r="A184" s="8" t="str">
        <v>MARK008 Manoeuvre a vessel up to 24 metres within Near Coastal waters</v>
      </c>
      <c r="B184" s="9" t="str">
        <v>Knowledge Evidence</v>
      </c>
      <c r="C184" s="9" t="str">
        <v>K21</v>
      </c>
      <c r="D184" s="10" t="str">
        <v>Inboard engines</v>
      </c>
      <c r="E184" s="9" t="str">
        <v/>
      </c>
      <c r="F184" s="9" t="str">
        <f>SUMPRODUCT(--((G184:M184&lt;&gt;"")*( G184:M184&lt;&gt;0)))</f>
        <v/>
      </c>
      <c r="G184" s="9" t="str">
        <v/>
      </c>
      <c r="H184" s="9" t="str">
        <v/>
      </c>
      <c r="I184" s="9" t="str">
        <v/>
      </c>
      <c r="J184" s="9" t="str">
        <v/>
      </c>
      <c r="K184" s="9" t="str">
        <v/>
      </c>
      <c r="L184" s="9" t="str">
        <v/>
      </c>
      <c r="M184" s="11" t="str">
        <v/>
      </c>
    </row>
    <row r="185">
      <c r="A185" s="6" t="str">
        <v>MARK008 Manoeuvre a vessel up to 24 metres within Near Coastal waters</v>
      </c>
      <c r="B185" s="6" t="str">
        <v>Knowledge Evidence</v>
      </c>
      <c r="C185" s="6" t="str">
        <v>K22</v>
      </c>
      <c r="D185" s="7" t="str">
        <v>Inboard-outboard engines</v>
      </c>
      <c r="E185" s="6" t="str">
        <v/>
      </c>
      <c r="F185" s="6" t="str">
        <f>SUMPRODUCT(--((G185:M185&lt;&gt;"")*( G185:M185&lt;&gt;0)))</f>
        <v/>
      </c>
      <c r="G185" s="6" t="str">
        <v/>
      </c>
      <c r="H185" s="6" t="str">
        <v/>
      </c>
      <c r="I185" s="6" t="str">
        <v/>
      </c>
      <c r="J185" s="6" t="str">
        <v/>
      </c>
      <c r="K185" s="6" t="str">
        <v/>
      </c>
      <c r="L185" s="6" t="str">
        <v/>
      </c>
      <c r="M185" s="6" t="str">
        <v/>
      </c>
    </row>
    <row r="186">
      <c r="A186" s="8" t="str">
        <v>MARK008 Manoeuvre a vessel up to 24 metres within Near Coastal waters</v>
      </c>
      <c r="B186" s="9" t="str">
        <v>Knowledge Evidence</v>
      </c>
      <c r="C186" s="9" t="str">
        <v>K23</v>
      </c>
      <c r="D186" s="10" t="str">
        <v>Jet propulsion</v>
      </c>
      <c r="E186" s="9" t="str">
        <v/>
      </c>
      <c r="F186" s="9" t="str">
        <f>SUMPRODUCT(--((G186:M186&lt;&gt;"")*( G186:M186&lt;&gt;0)))</f>
        <v/>
      </c>
      <c r="G186" s="9" t="str">
        <v/>
      </c>
      <c r="H186" s="9" t="str">
        <v/>
      </c>
      <c r="I186" s="9" t="str">
        <v/>
      </c>
      <c r="J186" s="9" t="str">
        <v/>
      </c>
      <c r="K186" s="9" t="str">
        <v/>
      </c>
      <c r="L186" s="9" t="str">
        <v/>
      </c>
      <c r="M186" s="11" t="str">
        <v/>
      </c>
    </row>
    <row r="187">
      <c r="A187" s="6" t="str">
        <v>MARK008 Manoeuvre a vessel up to 24 metres within Near Coastal waters</v>
      </c>
      <c r="B187" s="6" t="str">
        <v>Knowledge Evidence</v>
      </c>
      <c r="C187" s="6" t="str">
        <v>K24</v>
      </c>
      <c r="D187" s="7" t="str">
        <v>Outboard engines</v>
      </c>
      <c r="E187" s="6" t="str">
        <v/>
      </c>
      <c r="F187" s="6" t="str">
        <f>SUMPRODUCT(--((G187:M187&lt;&gt;"")*( G187:M187&lt;&gt;0)))</f>
        <v/>
      </c>
      <c r="G187" s="6" t="str">
        <v/>
      </c>
      <c r="H187" s="6" t="str">
        <v/>
      </c>
      <c r="I187" s="6" t="str">
        <v/>
      </c>
      <c r="J187" s="6" t="str">
        <v/>
      </c>
      <c r="K187" s="6" t="str">
        <v/>
      </c>
      <c r="L187" s="6" t="str">
        <v/>
      </c>
      <c r="M187" s="6" t="str">
        <v/>
      </c>
    </row>
    <row r="188">
      <c r="A188" s="8" t="str">
        <v>MARK008 Manoeuvre a vessel up to 24 metres within Near Coastal waters</v>
      </c>
      <c r="B188" s="9" t="str">
        <v>Knowledge Evidence</v>
      </c>
      <c r="C188" s="9" t="str">
        <v>K25</v>
      </c>
      <c r="D188" s="10" t="str">
        <v>Heading to wind and sea to ride out the adverse weather</v>
      </c>
      <c r="E188" s="9" t="str">
        <v/>
      </c>
      <c r="F188" s="9" t="str">
        <f>SUMPRODUCT(--((G188:M188&lt;&gt;"")*( G188:M188&lt;&gt;0)))</f>
        <v/>
      </c>
      <c r="G188" s="9" t="str">
        <v/>
      </c>
      <c r="H188" s="9" t="str">
        <v/>
      </c>
      <c r="I188" s="9" t="str">
        <v/>
      </c>
      <c r="J188" s="9" t="str">
        <v/>
      </c>
      <c r="K188" s="9" t="str">
        <v/>
      </c>
      <c r="L188" s="9" t="str">
        <v/>
      </c>
      <c r="M188" s="11" t="str">
        <v/>
      </c>
    </row>
    <row r="189">
      <c r="A189" s="6" t="str">
        <v>MARK008 Manoeuvre a vessel up to 24 metres within Near Coastal waters</v>
      </c>
      <c r="B189" s="6" t="str">
        <v>Knowledge Evidence</v>
      </c>
      <c r="C189" s="6" t="str">
        <v>K26</v>
      </c>
      <c r="D189" s="7" t="str">
        <v>In a narrow channel or shallow water</v>
      </c>
      <c r="E189" s="6" t="str">
        <v/>
      </c>
      <c r="F189" s="6" t="str">
        <f>SUMPRODUCT(--((G189:M189&lt;&gt;"")*( G189:M189&lt;&gt;0)))</f>
        <v/>
      </c>
      <c r="G189" s="6" t="str">
        <v/>
      </c>
      <c r="H189" s="6" t="str">
        <v/>
      </c>
      <c r="I189" s="6" t="str">
        <v/>
      </c>
      <c r="J189" s="6" t="str">
        <v/>
      </c>
      <c r="K189" s="6" t="str">
        <v/>
      </c>
      <c r="L189" s="6" t="str">
        <v/>
      </c>
      <c r="M189" s="6" t="str">
        <v/>
      </c>
    </row>
    <row r="190">
      <c r="A190" s="8" t="str">
        <v>MARK008 Manoeuvre a vessel up to 24 metres within Near Coastal waters</v>
      </c>
      <c r="B190" s="9" t="str">
        <v>Knowledge Evidence</v>
      </c>
      <c r="C190" s="9" t="str">
        <v>K27</v>
      </c>
      <c r="D190" s="10" t="str">
        <v>In fog and restricted visibility</v>
      </c>
      <c r="E190" s="9" t="str">
        <v/>
      </c>
      <c r="F190" s="9" t="str">
        <f>SUMPRODUCT(--((G190:M190&lt;&gt;"")*( G190:M190&lt;&gt;0)))</f>
        <v/>
      </c>
      <c r="G190" s="9" t="str">
        <v/>
      </c>
      <c r="H190" s="9" t="str">
        <v/>
      </c>
      <c r="I190" s="9" t="str">
        <v/>
      </c>
      <c r="J190" s="9" t="str">
        <v/>
      </c>
      <c r="K190" s="9" t="str">
        <v/>
      </c>
      <c r="L190" s="9" t="str">
        <v/>
      </c>
      <c r="M190" s="11" t="str">
        <v/>
      </c>
    </row>
    <row r="191">
      <c r="A191" s="6" t="str">
        <v>MARK008 Manoeuvre a vessel up to 24 metres within Near Coastal waters</v>
      </c>
      <c r="B191" s="6" t="str">
        <v>Knowledge Evidence</v>
      </c>
      <c r="C191" s="6" t="str">
        <v>K28</v>
      </c>
      <c r="D191" s="7" t="str">
        <v>In heavy swell and surf</v>
      </c>
      <c r="E191" s="6" t="str">
        <v/>
      </c>
      <c r="F191" s="6" t="str">
        <f>SUMPRODUCT(--((G191:M191&lt;&gt;"")*( G191:M191&lt;&gt;0)))</f>
        <v/>
      </c>
      <c r="G191" s="6" t="str">
        <v/>
      </c>
      <c r="H191" s="6" t="str">
        <v/>
      </c>
      <c r="I191" s="6" t="str">
        <v/>
      </c>
      <c r="J191" s="6" t="str">
        <v/>
      </c>
      <c r="K191" s="6" t="str">
        <v/>
      </c>
      <c r="L191" s="6" t="str">
        <v/>
      </c>
      <c r="M191" s="6" t="str">
        <v/>
      </c>
    </row>
    <row r="192">
      <c r="A192" s="8" t="str">
        <v>MARK008 Manoeuvre a vessel up to 24 metres within Near Coastal waters</v>
      </c>
      <c r="B192" s="9" t="str">
        <v>Knowledge Evidence</v>
      </c>
      <c r="C192" s="9" t="str">
        <v>K29</v>
      </c>
      <c r="D192" s="10" t="str">
        <v>In heavy weather</v>
      </c>
      <c r="E192" s="9" t="str">
        <v/>
      </c>
      <c r="F192" s="9" t="str">
        <f>SUMPRODUCT(--((G192:M192&lt;&gt;"")*( G192:M192&lt;&gt;0)))</f>
        <v/>
      </c>
      <c r="G192" s="9" t="str">
        <v/>
      </c>
      <c r="H192" s="9" t="str">
        <v/>
      </c>
      <c r="I192" s="9" t="str">
        <v/>
      </c>
      <c r="J192" s="9" t="str">
        <v/>
      </c>
      <c r="K192" s="9" t="str">
        <v/>
      </c>
      <c r="L192" s="9" t="str">
        <v/>
      </c>
      <c r="M192" s="11" t="str">
        <v/>
      </c>
    </row>
    <row r="193">
      <c r="A193" s="6" t="str">
        <v>MARK008 Manoeuvre a vessel up to 24 metres within Near Coastal waters</v>
      </c>
      <c r="B193" s="6" t="str">
        <v>Knowledge Evidence</v>
      </c>
      <c r="C193" s="6" t="str">
        <v>K30</v>
      </c>
      <c r="D193" s="7" t="str">
        <v>To cross a bar with and against the sea</v>
      </c>
      <c r="E193" s="6" t="str">
        <v/>
      </c>
      <c r="F193" s="6" t="str">
        <f>SUMPRODUCT(--((G193:M193&lt;&gt;"")*( G193:M193&lt;&gt;0)))</f>
        <v/>
      </c>
      <c r="G193" s="6" t="str">
        <v/>
      </c>
      <c r="H193" s="6" t="str">
        <v/>
      </c>
      <c r="I193" s="6" t="str">
        <v/>
      </c>
      <c r="J193" s="6" t="str">
        <v/>
      </c>
      <c r="K193" s="6" t="str">
        <v/>
      </c>
      <c r="L193" s="6" t="str">
        <v/>
      </c>
      <c r="M193" s="6" t="str">
        <v/>
      </c>
    </row>
    <row r="194">
      <c r="A194" s="8" t="str">
        <v>MARK008 Manoeuvre a vessel up to 24 metres within Near Coastal waters</v>
      </c>
      <c r="B194" s="9" t="str">
        <v>Knowledge Evidence</v>
      </c>
      <c r="C194" s="9" t="str">
        <v>K31</v>
      </c>
      <c r="D194" s="10" t="str">
        <v>Assist a vessel or aircraft in search and rescue</v>
      </c>
      <c r="E194" s="9" t="str">
        <v/>
      </c>
      <c r="F194" s="9" t="str">
        <f>SUMPRODUCT(--((G194:M194&lt;&gt;"")*( G194:M194&lt;&gt;0)))</f>
        <v/>
      </c>
      <c r="G194" s="9" t="str">
        <v/>
      </c>
      <c r="H194" s="9" t="str">
        <v/>
      </c>
      <c r="I194" s="9" t="str">
        <v/>
      </c>
      <c r="J194" s="9" t="str">
        <v/>
      </c>
      <c r="K194" s="9" t="str">
        <v/>
      </c>
      <c r="L194" s="9" t="str">
        <v/>
      </c>
      <c r="M194" s="11" t="str">
        <v/>
      </c>
    </row>
    <row r="195">
      <c r="A195" s="6" t="str">
        <v>MARK008 Manoeuvre a vessel up to 24 metres within Near Coastal waters</v>
      </c>
      <c r="B195" s="6" t="str">
        <v>Knowledge Evidence</v>
      </c>
      <c r="C195" s="6" t="str">
        <v>K32</v>
      </c>
      <c r="D195" s="7" t="str">
        <v>Beach and re-float the vessel</v>
      </c>
      <c r="E195" s="6" t="str">
        <v/>
      </c>
      <c r="F195" s="6" t="str">
        <f>SUMPRODUCT(--((G195:M195&lt;&gt;"")*( G195:M195&lt;&gt;0)))</f>
        <v/>
      </c>
      <c r="G195" s="6" t="str">
        <v/>
      </c>
      <c r="H195" s="6" t="str">
        <v/>
      </c>
      <c r="I195" s="6" t="str">
        <v/>
      </c>
      <c r="J195" s="6" t="str">
        <v/>
      </c>
      <c r="K195" s="6" t="str">
        <v/>
      </c>
      <c r="L195" s="6" t="str">
        <v/>
      </c>
      <c r="M195" s="6" t="str">
        <v/>
      </c>
    </row>
    <row r="196">
      <c r="A196" s="8" t="str">
        <v>MARK008 Manoeuvre a vessel up to 24 metres within Near Coastal waters</v>
      </c>
      <c r="B196" s="9" t="str">
        <v>Knowledge Evidence</v>
      </c>
      <c r="C196" s="9" t="str">
        <v>K33</v>
      </c>
      <c r="D196" s="10" t="str">
        <v>Position for helicopter evacuation</v>
      </c>
      <c r="E196" s="9" t="str">
        <v/>
      </c>
      <c r="F196" s="9" t="str">
        <f>SUMPRODUCT(--((G196:M196&lt;&gt;"")*( G196:M196&lt;&gt;0)))</f>
        <v/>
      </c>
      <c r="G196" s="9" t="str">
        <v/>
      </c>
      <c r="H196" s="9" t="str">
        <v/>
      </c>
      <c r="I196" s="9" t="str">
        <v/>
      </c>
      <c r="J196" s="9" t="str">
        <v/>
      </c>
      <c r="K196" s="9" t="str">
        <v/>
      </c>
      <c r="L196" s="9" t="str">
        <v/>
      </c>
      <c r="M196" s="11" t="str">
        <v/>
      </c>
    </row>
    <row r="197">
      <c r="A197" s="6" t="str">
        <v>MARK008 Manoeuvre a vessel up to 24 metres within Near Coastal waters</v>
      </c>
      <c r="B197" s="6" t="str">
        <v>Knowledge Evidence</v>
      </c>
      <c r="C197" s="6" t="str">
        <v>K34</v>
      </c>
      <c r="D197" s="7" t="str">
        <v>Beaching</v>
      </c>
      <c r="E197" s="6" t="str">
        <v/>
      </c>
      <c r="F197" s="6" t="str">
        <f>SUMPRODUCT(--((G197:M197&lt;&gt;"")*( G197:M197&lt;&gt;0)))</f>
        <v/>
      </c>
      <c r="G197" s="6" t="str">
        <v/>
      </c>
      <c r="H197" s="6" t="str">
        <v/>
      </c>
      <c r="I197" s="6" t="str">
        <v/>
      </c>
      <c r="J197" s="6" t="str">
        <v/>
      </c>
      <c r="K197" s="6" t="str">
        <v/>
      </c>
      <c r="L197" s="6" t="str">
        <v/>
      </c>
      <c r="M197" s="6" t="str">
        <v/>
      </c>
    </row>
    <row r="198">
      <c r="A198" s="8" t="str">
        <v>MARK008 Manoeuvre a vessel up to 24 metres within Near Coastal waters</v>
      </c>
      <c r="B198" s="9" t="str">
        <v>Knowledge Evidence</v>
      </c>
      <c r="C198" s="9" t="str">
        <v>K35</v>
      </c>
      <c r="D198" s="10" t="str">
        <v>Collision</v>
      </c>
      <c r="E198" s="9" t="str">
        <v/>
      </c>
      <c r="F198" s="9" t="str">
        <f>SUMPRODUCT(--((G198:M198&lt;&gt;"")*( G198:M198&lt;&gt;0)))</f>
        <v/>
      </c>
      <c r="G198" s="9" t="str">
        <v/>
      </c>
      <c r="H198" s="9" t="str">
        <v/>
      </c>
      <c r="I198" s="9" t="str">
        <v/>
      </c>
      <c r="J198" s="9" t="str">
        <v/>
      </c>
      <c r="K198" s="9" t="str">
        <v/>
      </c>
      <c r="L198" s="9" t="str">
        <v/>
      </c>
      <c r="M198" s="11" t="str">
        <v/>
      </c>
    </row>
    <row r="199">
      <c r="A199" s="6" t="str">
        <v>MARK008 Manoeuvre a vessel up to 24 metres within Near Coastal waters</v>
      </c>
      <c r="B199" s="6" t="str">
        <v>Knowledge Evidence</v>
      </c>
      <c r="C199" s="6" t="str">
        <v>K36</v>
      </c>
      <c r="D199" s="7" t="str">
        <v>Damage to the vessel</v>
      </c>
      <c r="E199" s="6" t="str">
        <v/>
      </c>
      <c r="F199" s="6" t="str">
        <f>SUMPRODUCT(--((G199:M199&lt;&gt;"")*( G199:M199&lt;&gt;0)))</f>
        <v/>
      </c>
      <c r="G199" s="6" t="str">
        <v/>
      </c>
      <c r="H199" s="6" t="str">
        <v/>
      </c>
      <c r="I199" s="6" t="str">
        <v/>
      </c>
      <c r="J199" s="6" t="str">
        <v/>
      </c>
      <c r="K199" s="6" t="str">
        <v/>
      </c>
      <c r="L199" s="6" t="str">
        <v/>
      </c>
      <c r="M199" s="6" t="str">
        <v/>
      </c>
    </row>
    <row r="200">
      <c r="A200" s="8" t="str">
        <v>MARK008 Manoeuvre a vessel up to 24 metres within Near Coastal waters</v>
      </c>
      <c r="B200" s="9" t="str">
        <v>Knowledge Evidence</v>
      </c>
      <c r="C200" s="9" t="str">
        <v>K37</v>
      </c>
      <c r="D200" s="10" t="str">
        <v>Disabled or partially disabled vessel</v>
      </c>
      <c r="E200" s="9" t="str">
        <v/>
      </c>
      <c r="F200" s="9" t="str">
        <f>SUMPRODUCT(--((G200:M200&lt;&gt;"")*( G200:M200&lt;&gt;0)))</f>
        <v/>
      </c>
      <c r="G200" s="9" t="str">
        <v/>
      </c>
      <c r="H200" s="9" t="str">
        <v/>
      </c>
      <c r="I200" s="9" t="str">
        <v/>
      </c>
      <c r="J200" s="9" t="str">
        <v/>
      </c>
      <c r="K200" s="9" t="str">
        <v/>
      </c>
      <c r="L200" s="9" t="str">
        <v/>
      </c>
      <c r="M200" s="11" t="str">
        <v/>
      </c>
    </row>
    <row r="201">
      <c r="A201" s="6" t="str">
        <v>MARK008 Manoeuvre a vessel up to 24 metres within Near Coastal waters</v>
      </c>
      <c r="B201" s="6" t="str">
        <v>Knowledge Evidence</v>
      </c>
      <c r="C201" s="6" t="str">
        <v>K38</v>
      </c>
      <c r="D201" s="7" t="str">
        <v>Fire</v>
      </c>
      <c r="E201" s="6" t="str">
        <v/>
      </c>
      <c r="F201" s="6" t="str">
        <f>SUMPRODUCT(--((G201:M201&lt;&gt;"")*( G201:M201&lt;&gt;0)))</f>
        <v/>
      </c>
      <c r="G201" s="6" t="str">
        <v/>
      </c>
      <c r="H201" s="6" t="str">
        <v/>
      </c>
      <c r="I201" s="6" t="str">
        <v/>
      </c>
      <c r="J201" s="6" t="str">
        <v/>
      </c>
      <c r="K201" s="6" t="str">
        <v/>
      </c>
      <c r="L201" s="6" t="str">
        <v/>
      </c>
      <c r="M201" s="6" t="str">
        <v/>
      </c>
    </row>
    <row r="202">
      <c r="A202" s="8" t="str">
        <v>MARK008 Manoeuvre a vessel up to 24 metres within Near Coastal waters</v>
      </c>
      <c r="B202" s="9" t="str">
        <v>Knowledge Evidence</v>
      </c>
      <c r="C202" s="9" t="str">
        <v>K39</v>
      </c>
      <c r="D202" s="10" t="str">
        <v>Grounding</v>
      </c>
      <c r="E202" s="9" t="str">
        <v/>
      </c>
      <c r="F202" s="9" t="str">
        <f>SUMPRODUCT(--((G202:M202&lt;&gt;"")*( G202:M202&lt;&gt;0)))</f>
        <v/>
      </c>
      <c r="G202" s="9" t="str">
        <v/>
      </c>
      <c r="H202" s="9" t="str">
        <v/>
      </c>
      <c r="I202" s="9" t="str">
        <v/>
      </c>
      <c r="J202" s="9" t="str">
        <v/>
      </c>
      <c r="K202" s="9" t="str">
        <v/>
      </c>
      <c r="L202" s="9" t="str">
        <v/>
      </c>
      <c r="M202" s="11" t="str">
        <v/>
      </c>
    </row>
    <row r="203">
      <c r="A203" s="6" t="str">
        <v>MARK008 Manoeuvre a vessel up to 24 metres within Near Coastal waters</v>
      </c>
      <c r="B203" s="6" t="str">
        <v>Knowledge Evidence</v>
      </c>
      <c r="C203" s="6" t="str">
        <v>K40</v>
      </c>
      <c r="D203" s="7" t="str">
        <v>Loss of steering gear</v>
      </c>
      <c r="E203" s="6" t="str">
        <v/>
      </c>
      <c r="F203" s="6" t="str">
        <f>SUMPRODUCT(--((G203:M203&lt;&gt;"")*( G203:M203&lt;&gt;0)))</f>
        <v/>
      </c>
      <c r="G203" s="6" t="str">
        <v/>
      </c>
      <c r="H203" s="6" t="str">
        <v/>
      </c>
      <c r="I203" s="6" t="str">
        <v/>
      </c>
      <c r="J203" s="6" t="str">
        <v/>
      </c>
      <c r="K203" s="6" t="str">
        <v/>
      </c>
      <c r="L203" s="6" t="str">
        <v/>
      </c>
      <c r="M203" s="6" t="str">
        <v/>
      </c>
    </row>
    <row r="204">
      <c r="A204" s="8" t="str">
        <v>MARK008 Manoeuvre a vessel up to 24 metres within Near Coastal waters</v>
      </c>
      <c r="B204" s="9" t="str">
        <v>Knowledge Evidence</v>
      </c>
      <c r="C204" s="9" t="str">
        <v>K41</v>
      </c>
      <c r="D204" s="10" t="str">
        <v>Person overboard</v>
      </c>
      <c r="E204" s="9" t="str">
        <v/>
      </c>
      <c r="F204" s="9" t="str">
        <f>SUMPRODUCT(--((G204:M204&lt;&gt;"")*( G204:M204&lt;&gt;0)))</f>
        <v/>
      </c>
      <c r="G204" s="9" t="str">
        <v/>
      </c>
      <c r="H204" s="9" t="str">
        <v/>
      </c>
      <c r="I204" s="9" t="str">
        <v/>
      </c>
      <c r="J204" s="9" t="str">
        <v/>
      </c>
      <c r="K204" s="9" t="str">
        <v/>
      </c>
      <c r="L204" s="9" t="str">
        <v/>
      </c>
      <c r="M204" s="11" t="str">
        <v/>
      </c>
    </row>
    <row r="205">
      <c r="A205" s="6" t="str">
        <v>MARK008 Manoeuvre a vessel up to 24 metres within Near Coastal waters</v>
      </c>
      <c r="B205" s="6" t="str">
        <v>Knowledge Evidence</v>
      </c>
      <c r="C205" s="6" t="str">
        <v>K42</v>
      </c>
      <c r="D205" s="7" t="str">
        <v>Crew briefings that include the task at hand and risks to persons on both vessels</v>
      </c>
      <c r="E205" s="6" t="str">
        <v/>
      </c>
      <c r="F205" s="6" t="str">
        <f>SUMPRODUCT(--((G205:M205&lt;&gt;"")*( G205:M205&lt;&gt;0)))</f>
        <v/>
      </c>
      <c r="G205" s="6" t="str">
        <v/>
      </c>
      <c r="H205" s="6" t="str">
        <v/>
      </c>
      <c r="I205" s="6" t="str">
        <v/>
      </c>
      <c r="J205" s="6" t="str">
        <v/>
      </c>
      <c r="K205" s="6" t="str">
        <v/>
      </c>
      <c r="L205" s="6" t="str">
        <v/>
      </c>
      <c r="M205" s="6" t="str">
        <v/>
      </c>
    </row>
    <row r="206">
      <c r="A206" s="8" t="str">
        <v>MARK008 Manoeuvre a vessel up to 24 metres within Near Coastal waters</v>
      </c>
      <c r="B206" s="9" t="str">
        <v>Knowledge Evidence</v>
      </c>
      <c r="C206" s="9" t="str">
        <v>K43</v>
      </c>
      <c r="D206" s="10" t="str">
        <v>Ensuring appropriate lights and shapes for the tow are available and in working order</v>
      </c>
      <c r="E206" s="9" t="str">
        <v/>
      </c>
      <c r="F206" s="9" t="str">
        <f>SUMPRODUCT(--((G206:M206&lt;&gt;"")*( G206:M206&lt;&gt;0)))</f>
        <v/>
      </c>
      <c r="G206" s="9" t="str">
        <v/>
      </c>
      <c r="H206" s="9" t="str">
        <v/>
      </c>
      <c r="I206" s="9" t="str">
        <v/>
      </c>
      <c r="J206" s="9" t="str">
        <v/>
      </c>
      <c r="K206" s="9" t="str">
        <v/>
      </c>
      <c r="L206" s="9" t="str">
        <v/>
      </c>
      <c r="M206" s="11" t="str">
        <v/>
      </c>
    </row>
    <row r="207">
      <c r="A207" s="6" t="str">
        <v>MARK008 Manoeuvre a vessel up to 24 metres within Near Coastal waters</v>
      </c>
      <c r="B207" s="6" t="str">
        <v>Knowledge Evidence</v>
      </c>
      <c r="C207" s="6" t="str">
        <v>K44</v>
      </c>
      <c r="D207" s="7" t="str">
        <v>Ensuring means of communication between the two vessels is available</v>
      </c>
      <c r="E207" s="6" t="str">
        <v/>
      </c>
      <c r="F207" s="6" t="str">
        <f>SUMPRODUCT(--((G207:M207&lt;&gt;"")*( G207:M207&lt;&gt;0)))</f>
        <v/>
      </c>
      <c r="G207" s="6" t="str">
        <v/>
      </c>
      <c r="H207" s="6" t="str">
        <v/>
      </c>
      <c r="I207" s="6" t="str">
        <v/>
      </c>
      <c r="J207" s="6" t="str">
        <v/>
      </c>
      <c r="K207" s="6" t="str">
        <v/>
      </c>
      <c r="L207" s="6" t="str">
        <v/>
      </c>
      <c r="M207" s="6" t="str">
        <v/>
      </c>
    </row>
    <row r="208">
      <c r="A208" s="8" t="str">
        <v>MARK008 Manoeuvre a vessel up to 24 metres within Near Coastal waters</v>
      </c>
      <c r="B208" s="9" t="str">
        <v>Knowledge Evidence</v>
      </c>
      <c r="C208" s="9" t="str">
        <v>K45</v>
      </c>
      <c r="D208" s="10" t="str">
        <v>Ensuring tow line is of sufficient length to minimise shock loading on tow-line</v>
      </c>
      <c r="E208" s="9" t="str">
        <v/>
      </c>
      <c r="F208" s="9" t="str">
        <f>SUMPRODUCT(--((G208:M208&lt;&gt;"")*( G208:M208&lt;&gt;0)))</f>
        <v/>
      </c>
      <c r="G208" s="9" t="str">
        <v/>
      </c>
      <c r="H208" s="9" t="str">
        <v/>
      </c>
      <c r="I208" s="9" t="str">
        <v/>
      </c>
      <c r="J208" s="9" t="str">
        <v/>
      </c>
      <c r="K208" s="9" t="str">
        <v/>
      </c>
      <c r="L208" s="9" t="str">
        <v/>
      </c>
      <c r="M208" s="11" t="str">
        <v/>
      </c>
    </row>
    <row r="209">
      <c r="A209" s="6" t="str">
        <v>MARK008 Manoeuvre a vessel up to 24 metres within Near Coastal waters</v>
      </c>
      <c r="B209" s="6" t="str">
        <v>Knowledge Evidence</v>
      </c>
      <c r="C209" s="6" t="str">
        <v>K46</v>
      </c>
      <c r="D209" s="7" t="str">
        <v>Ensuring tow ropes are in good condition and of adequate strength for the proposed tow</v>
      </c>
      <c r="E209" s="6" t="str">
        <v/>
      </c>
      <c r="F209" s="6" t="str">
        <f>SUMPRODUCT(--((G209:M209&lt;&gt;"")*( G209:M209&lt;&gt;0)))</f>
        <v/>
      </c>
      <c r="G209" s="6" t="str">
        <v/>
      </c>
      <c r="H209" s="6" t="str">
        <v/>
      </c>
      <c r="I209" s="6" t="str">
        <v/>
      </c>
      <c r="J209" s="6" t="str">
        <v/>
      </c>
      <c r="K209" s="6" t="str">
        <v/>
      </c>
      <c r="L209" s="6" t="str">
        <v/>
      </c>
      <c r="M209" s="6" t="str">
        <v/>
      </c>
    </row>
    <row r="210">
      <c r="A210" s="8" t="str">
        <v>MARK008 Manoeuvre a vessel up to 24 metres within Near Coastal waters</v>
      </c>
      <c r="B210" s="9" t="str">
        <v>Knowledge Evidence</v>
      </c>
      <c r="C210" s="9" t="str">
        <v>K47</v>
      </c>
      <c r="D210" s="10" t="str">
        <v>Making provision for rapid slipping of the tow in emergency situations</v>
      </c>
      <c r="E210" s="9" t="str">
        <v/>
      </c>
      <c r="F210" s="9" t="str">
        <f>SUMPRODUCT(--((G210:M210&lt;&gt;"")*( G210:M210&lt;&gt;0)))</f>
        <v/>
      </c>
      <c r="G210" s="9" t="str">
        <v/>
      </c>
      <c r="H210" s="9" t="str">
        <v/>
      </c>
      <c r="I210" s="9" t="str">
        <v/>
      </c>
      <c r="J210" s="9" t="str">
        <v/>
      </c>
      <c r="K210" s="9" t="str">
        <v/>
      </c>
      <c r="L210" s="9" t="str">
        <v/>
      </c>
      <c r="M210" s="11" t="str">
        <v/>
      </c>
    </row>
    <row r="211">
      <c r="A211" s="6" t="str">
        <v>MARK008 Manoeuvre a vessel up to 24 metres within Near Coastal waters</v>
      </c>
      <c r="B211" s="6" t="str">
        <v>Knowledge Evidence</v>
      </c>
      <c r="C211" s="6" t="str">
        <v>K48</v>
      </c>
      <c r="D211" s="7" t="str">
        <v>Making tow fast to the towing vessel to ensure steerage can be maintained</v>
      </c>
      <c r="E211" s="6" t="str">
        <v/>
      </c>
      <c r="F211" s="6" t="str">
        <f>SUMPRODUCT(--((G211:M211&lt;&gt;"")*( G211:M211&lt;&gt;0)))</f>
        <v/>
      </c>
      <c r="G211" s="6" t="str">
        <v/>
      </c>
      <c r="H211" s="6" t="str">
        <v/>
      </c>
      <c r="I211" s="6" t="str">
        <v/>
      </c>
      <c r="J211" s="6" t="str">
        <v/>
      </c>
      <c r="K211" s="6" t="str">
        <v/>
      </c>
      <c r="L211" s="6" t="str">
        <v/>
      </c>
      <c r="M211" s="6" t="str">
        <v/>
      </c>
    </row>
    <row r="212">
      <c r="A212" s="8" t="str">
        <v>MARK008 Manoeuvre a vessel up to 24 metres within Near Coastal waters</v>
      </c>
      <c r="B212" s="9" t="str">
        <v>Knowledge Evidence</v>
      </c>
      <c r="C212" s="9" t="str">
        <v>K49</v>
      </c>
      <c r="D212" s="10" t="str">
        <v>Preparing messenger ropes for passing tow lines</v>
      </c>
      <c r="E212" s="9" t="str">
        <v/>
      </c>
      <c r="F212" s="9" t="str">
        <f>SUMPRODUCT(--((G212:M212&lt;&gt;"")*( G212:M212&lt;&gt;0)))</f>
        <v/>
      </c>
      <c r="G212" s="9" t="str">
        <v/>
      </c>
      <c r="H212" s="9" t="str">
        <v/>
      </c>
      <c r="I212" s="9" t="str">
        <v/>
      </c>
      <c r="J212" s="9" t="str">
        <v/>
      </c>
      <c r="K212" s="9" t="str">
        <v/>
      </c>
      <c r="L212" s="9" t="str">
        <v/>
      </c>
      <c r="M212" s="11" t="str">
        <v/>
      </c>
    </row>
  </sheetData>
  <autoFilter ref="A2:M212"/>
  <mergeCells count="8">
    <mergeCell ref="A1:A2"/>
    <mergeCell ref="B1:B2"/>
    <mergeCell ref="C1:C2"/>
    <mergeCell ref="D1:D2"/>
    <mergeCell ref="E1:E2"/>
    <mergeCell ref="F1:F2"/>
    <mergeCell ref="G1:J1"/>
    <mergeCell ref="K1:M1"/>
  </mergeCells>
  <ignoredErrors>
    <ignoredError numberStoredAsText="1" sqref="A1:M212"/>
  </ignoredErrors>
</worksheet>
</file>

<file path=xl/worksheets/sheet3.xml><?xml version="1.0" encoding="utf-8"?>
<worksheet xmlns="http://schemas.openxmlformats.org/spreadsheetml/2006/main" xmlns:r="http://schemas.openxmlformats.org/officeDocument/2006/relationships">
  <dimension ref="A1:I2"/>
  <sheetViews>
    <sheetView workbookViewId="0"/>
  </sheetViews>
  <cols>
    <col min="1" max="1" width="40.83203125" customWidth="1"/>
    <col min="2" max="2" width="25.83203125" customWidth="1"/>
    <col min="3" max="3" width="14.83203125" customWidth="1"/>
    <col min="4" max="4" width="50.83203125" customWidth="1"/>
    <col min="5" max="5" width="18.83203125" customWidth="1"/>
    <col min="6" max="6" width="10.83203125" customWidth="1"/>
    <col min="7" max="7" width="34.83203125" customWidth="1"/>
    <col min="8" max="8" width="20.83203125" customWidth="1"/>
    <col min="9" max="9" width="21.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3" t="str">
        <v/>
      </c>
      <c r="I1" s="5" t="str">
        <v>Performance Assessment/s</v>
      </c>
    </row>
    <row r="2">
      <c r="A2" s="3" t="str">
        <v>Unit</v>
      </c>
      <c r="B2" s="3" t="str">
        <v>Element</v>
      </c>
      <c r="C2" s="3" t="str">
        <v>Criteria/Evidence</v>
      </c>
      <c r="D2" s="3" t="str">
        <v>Performance Criteria</v>
      </c>
      <c r="E2" s="3" t="str">
        <v>AMPA Conditions</v>
      </c>
      <c r="F2" s="3" t="str">
        <v>Mapping Count</v>
      </c>
      <c r="G2" s="3" t="str">
        <v>Symbols, Abbreviation, ENA, and Weather</v>
      </c>
      <c r="H2" s="3" t="str">
        <v>Passage Plan</v>
      </c>
      <c r="I2" s="3" t="str">
        <v>Vessel Passage</v>
      </c>
    </row>
  </sheetData>
  <autoFilter ref="A2:I2"/>
  <mergeCells count="8">
    <mergeCell ref="A1:A2"/>
    <mergeCell ref="B1:B2"/>
    <mergeCell ref="C1:C2"/>
    <mergeCell ref="D1:D2"/>
    <mergeCell ref="E1:E2"/>
    <mergeCell ref="F1:F2"/>
    <mergeCell ref="G1:H1"/>
    <mergeCell ref="I1"/>
  </mergeCells>
  <ignoredErrors>
    <ignoredError numberStoredAsText="1" sqref="A1:I2"/>
  </ignoredErrors>
</worksheet>
</file>

<file path=xl/worksheets/sheet4.xml><?xml version="1.0" encoding="utf-8"?>
<worksheet xmlns="http://schemas.openxmlformats.org/spreadsheetml/2006/main" xmlns:r="http://schemas.openxmlformats.org/officeDocument/2006/relationships">
  <dimension ref="A1:J2"/>
  <sheetViews>
    <sheetView workbookViewId="0"/>
  </sheetViews>
  <cols>
    <col min="1" max="1" width="40.83203125" customWidth="1"/>
    <col min="2" max="2" width="25.83203125" customWidth="1"/>
    <col min="3" max="3" width="14.83203125" customWidth="1"/>
    <col min="4" max="4" width="50.83203125" customWidth="1"/>
    <col min="5" max="5" width="18.83203125" customWidth="1"/>
    <col min="6" max="6" width="10.83203125" customWidth="1"/>
    <col min="7" max="7" width="20.83203125" customWidth="1"/>
    <col min="8" max="8" width="21.83203125" customWidth="1"/>
    <col min="9" max="9" width="21.83203125" customWidth="1"/>
    <col min="10" max="10" width="20.83203125" customWidth="1"/>
  </cols>
  <sheetData>
    <row r="1">
      <c r="A1" s="3" t="str">
        <v>Unit</v>
      </c>
      <c r="B1" s="3" t="str">
        <v>Element</v>
      </c>
      <c r="C1" s="3" t="str">
        <v>Criteria/Evidence</v>
      </c>
      <c r="D1" s="3" t="str">
        <v>Performance Criteria</v>
      </c>
      <c r="E1" s="3" t="str">
        <v>AMPA Conditions</v>
      </c>
      <c r="F1" s="3" t="str">
        <v>Mapping Count</v>
      </c>
      <c r="G1" s="4" t="str">
        <v>Knowledge Assessment/s</v>
      </c>
      <c r="H1" s="5" t="str">
        <v>Performance Assessment/s</v>
      </c>
      <c r="I1" s="3" t="str">
        <v/>
      </c>
      <c r="J1" s="3" t="str">
        <v/>
      </c>
    </row>
    <row r="2">
      <c r="A2" s="3" t="str">
        <v>Unit</v>
      </c>
      <c r="B2" s="3" t="str">
        <v>Element</v>
      </c>
      <c r="C2" s="3" t="str">
        <v>Criteria/Evidence</v>
      </c>
      <c r="D2" s="3" t="str">
        <v>Performance Criteria</v>
      </c>
      <c r="E2" s="3" t="str">
        <v>AMPA Conditions</v>
      </c>
      <c r="F2" s="3" t="str">
        <v>Mapping Count</v>
      </c>
      <c r="G2" s="3" t="str">
        <v>Engineering</v>
      </c>
      <c r="H2" s="3" t="str">
        <v>Engineering Vessel</v>
      </c>
      <c r="I2" s="3" t="str">
        <v>Readiness for Assessment</v>
      </c>
      <c r="J2" s="3" t="str">
        <v xml:space="preserve">Work shop </v>
      </c>
    </row>
  </sheetData>
  <autoFilter ref="A2:J2"/>
  <mergeCells count="8">
    <mergeCell ref="A1:A2"/>
    <mergeCell ref="B1:B2"/>
    <mergeCell ref="C1:C2"/>
    <mergeCell ref="D1:D2"/>
    <mergeCell ref="E1:E2"/>
    <mergeCell ref="F1:F2"/>
    <mergeCell ref="G1"/>
    <mergeCell ref="H1:J1"/>
  </mergeCells>
  <ignoredErrors>
    <ignoredError numberStoredAsText="1" sqref="A1:J2"/>
  </ignoredErrors>
</worksheet>
</file>

<file path=xl/worksheets/sheet5.xml><?xml version="1.0" encoding="utf-8"?>
<worksheet xmlns="http://schemas.openxmlformats.org/spreadsheetml/2006/main" xmlns:r="http://schemas.openxmlformats.org/officeDocument/2006/relationships">
  <dimension ref="A1:G2"/>
  <sheetViews>
    <sheetView workbookViewId="0"/>
  </sheetViews>
  <cols>
    <col min="1" max="1" width="40.83203125" customWidth="1"/>
    <col min="2" max="2" width="25.83203125" customWidth="1"/>
    <col min="3" max="3" width="14.83203125" customWidth="1"/>
    <col min="4" max="4" width="50.83203125" customWidth="1"/>
    <col min="5" max="5" width="10.83203125" customWidth="1"/>
    <col min="6" max="6" width="23.83203125" customWidth="1"/>
    <col min="7" max="7" width="26.83203125" customWidth="1"/>
  </cols>
  <sheetData>
    <row r="1">
      <c r="A1" s="3" t="str">
        <v>Unit</v>
      </c>
      <c r="B1" s="3" t="str">
        <v>Element</v>
      </c>
      <c r="C1" s="3" t="str">
        <v>Criteria/Evidence</v>
      </c>
      <c r="D1" s="3" t="str">
        <v>Performance Criteria</v>
      </c>
      <c r="E1" s="3" t="str">
        <v>Mapping Count</v>
      </c>
      <c r="F1" s="5" t="str">
        <v>Performance Assessment/s</v>
      </c>
      <c r="G1" s="3" t="str">
        <v/>
      </c>
    </row>
    <row r="2">
      <c r="A2" s="3" t="str">
        <v>Unit</v>
      </c>
      <c r="B2" s="3" t="str">
        <v>Element</v>
      </c>
      <c r="C2" s="3" t="str">
        <v>Criteria/Evidence</v>
      </c>
      <c r="D2" s="3" t="str">
        <v>Performance Criteria</v>
      </c>
      <c r="E2" s="3" t="str">
        <v>Mapping Count</v>
      </c>
      <c r="F2" s="3" t="str">
        <v>Workbook Classroom Activity</v>
      </c>
      <c r="G2" s="3" t="str">
        <v xml:space="preserve">Workbook Practical assessment </v>
      </c>
    </row>
  </sheetData>
  <autoFilter ref="A2:G2"/>
  <mergeCells count="6">
    <mergeCell ref="A1:A2"/>
    <mergeCell ref="B1:B2"/>
    <mergeCell ref="C1:C2"/>
    <mergeCell ref="D1:D2"/>
    <mergeCell ref="E1:E2"/>
    <mergeCell ref="F1:G1"/>
  </mergeCells>
  <ignoredErrors>
    <ignoredError numberStoredAsText="1" sqref="A1:G2"/>
  </ignoredErrors>
</worksheet>
</file>

<file path=xl/worksheets/sheet6.xml><?xml version="1.0" encoding="utf-8"?>
<worksheet xmlns="http://schemas.openxmlformats.org/spreadsheetml/2006/main" xmlns:r="http://schemas.openxmlformats.org/officeDocument/2006/relationships">
  <dimension ref="A1:J2"/>
  <sheetViews>
    <sheetView workbookViewId="0"/>
  </sheetViews>
  <cols>
    <col min="1" max="1" width="40.83203125" customWidth="1"/>
    <col min="2" max="2" width="25.83203125" customWidth="1"/>
    <col min="3" max="3" width="14.83203125" customWidth="1"/>
    <col min="4" max="4" width="50.83203125" customWidth="1"/>
    <col min="5" max="5" width="10.83203125" customWidth="1"/>
    <col min="6" max="6" width="20.83203125" customWidth="1"/>
    <col min="7" max="7" width="20.83203125" customWidth="1"/>
    <col min="8" max="8" width="21.83203125" customWidth="1"/>
    <col min="9" max="9" width="20.83203125" customWidth="1"/>
    <col min="10" max="10" width="20.83203125" customWidth="1"/>
  </cols>
  <sheetData>
    <row r="1">
      <c r="A1" s="3" t="str">
        <v>Unit</v>
      </c>
      <c r="B1" s="3" t="str">
        <v>Element</v>
      </c>
      <c r="C1" s="3" t="str">
        <v>Criteria/Evidence</v>
      </c>
      <c r="D1" s="3" t="str">
        <v>Performance Criteria</v>
      </c>
      <c r="E1" s="3" t="str">
        <v>Mapping Count</v>
      </c>
      <c r="F1" s="4" t="str">
        <v>Knowledge Assessment/s</v>
      </c>
      <c r="G1" s="3" t="str">
        <v/>
      </c>
      <c r="H1" s="5" t="str">
        <v>Performance Assessment/s</v>
      </c>
      <c r="I1" s="3" t="str">
        <v/>
      </c>
      <c r="J1" s="3" t="str">
        <v/>
      </c>
    </row>
    <row r="2">
      <c r="A2" s="3" t="str">
        <v>Unit</v>
      </c>
      <c r="B2" s="3" t="str">
        <v>Element</v>
      </c>
      <c r="C2" s="3" t="str">
        <v>Criteria/Evidence</v>
      </c>
      <c r="D2" s="3" t="str">
        <v>Performance Criteria</v>
      </c>
      <c r="E2" s="3" t="str">
        <v>Mapping Count</v>
      </c>
      <c r="F2" s="3" t="str">
        <v>Stability</v>
      </c>
      <c r="G2" s="3" t="str">
        <v>Machinery</v>
      </c>
      <c r="H2" s="3" t="str">
        <v>Machinery Practical</v>
      </c>
      <c r="I2" s="3" t="str">
        <v>Stability Practical</v>
      </c>
      <c r="J2" s="3" t="str">
        <v>Ropework</v>
      </c>
    </row>
  </sheetData>
  <autoFilter ref="A2:J2"/>
  <mergeCells count="7">
    <mergeCell ref="A1:A2"/>
    <mergeCell ref="B1:B2"/>
    <mergeCell ref="C1:C2"/>
    <mergeCell ref="D1:D2"/>
    <mergeCell ref="E1:E2"/>
    <mergeCell ref="F1:G1"/>
    <mergeCell ref="H1:J1"/>
  </mergeCells>
  <ignoredErrors>
    <ignoredError numberStoredAsText="1" sqref="A1:J2"/>
  </ignoredErrors>
</worksheet>
</file>

<file path=xl/worksheets/sheet7.xml><?xml version="1.0" encoding="utf-8"?>
<worksheet xmlns="http://schemas.openxmlformats.org/spreadsheetml/2006/main" xmlns:r="http://schemas.openxmlformats.org/officeDocument/2006/relationships">
  <dimension ref="A1:B151"/>
  <sheetViews>
    <sheetView workbookViewId="0"/>
  </sheetViews>
  <cols>
    <col min="1" max="1" width="60.83203125" customWidth="1"/>
    <col min="2" max="2" width="100.83203125" customWidth="1"/>
  </cols>
  <sheetData>
    <row r="1">
      <c r="A1" s="13" t="str">
        <v>Unit</v>
      </c>
      <c r="B1" s="13" t="str">
        <v>Assessment conditions</v>
      </c>
    </row>
    <row r="2" xml:space="preserve">
      <c r="A2" s="14" t="str">
        <v>BSBTWK201 Work effectively with others</v>
      </c>
      <c r="B2" s="14" t="str" xml:space="preserve">
        <v xml:space="preserve">Skills in this unit must be demonstrated in a workplace or simulated environment where the conditions are typical of those in a working environment in this industry.
This includes access to:
workplace discrimination and bullying legislation
organisational and ethical standards, policies and procedures for working with others.
Assessors of this unit must satisfy the requirements for assessors in applicable vocational education and training legislation, frameworks and/or standards.</v>
      </c>
    </row>
    <row r="3">
      <c r="A3" s="15" t="str">
        <v/>
      </c>
      <c r="B3" s="15" t="str">
        <v/>
      </c>
    </row>
    <row r="4" xml:space="preserve">
      <c r="A4" s="14" t="str">
        <v>MARC038 Operate main propulsion unit and auxiliary systems</v>
      </c>
      <c r="B4"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 commercial vessel greater than or equal to 5.0 m in length with propulsion power of greater than or equal to 75 kW, or appropriate engine ashore
applicable documentation, such as legislation, regulations, codes of practice, safety management system, workplace procedures and operational manuals
tools, equipment, machinery, materials and relevant personal protective equipment (PPE) that are currently used in industry.</v>
      </c>
    </row>
    <row r="5">
      <c r="A5" s="15" t="str">
        <v/>
      </c>
      <c r="B5" s="15" t="str">
        <v/>
      </c>
    </row>
    <row r="6" xml:space="preserve">
      <c r="A6" s="14" t="str">
        <v>MARC040 Manage fuel systems</v>
      </c>
      <c r="B6"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systems (SMS), workplace procedures and operational manuals, including:logbook
oil record book
port authority documentation
SDS/MSDS
a commercial vessel with inboard diesel propulsion power of greater than or equal to 150 kW or appropriate engine ashore
tools, equipment, machinery, materials and relevant personal protective equipment (PPE) currently used in industry.</v>
      </c>
    </row>
    <row r="7">
      <c r="A7" s="15" t="str">
        <v/>
      </c>
      <c r="B7" s="15" t="str">
        <v/>
      </c>
    </row>
    <row r="8" xml:space="preserve">
      <c r="A8" s="14" t="str">
        <v>MARF028 Follow procedures to minimise and fight fires on board a vessel</v>
      </c>
      <c r="B8"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workplace procedures and operational manuals
tools, equipment, machinery, materials and relevant personal protective equipment (PPE) that are currently used in industry.</v>
      </c>
    </row>
    <row r="9">
      <c r="A9" s="15" t="str">
        <v/>
      </c>
      <c r="B9" s="15" t="str">
        <v/>
      </c>
    </row>
    <row r="10" xml:space="preserve">
      <c r="A10" s="14" t="str">
        <v>MARK008 Manoeuvre a vessel up to 24 metres within Near Coastal waters</v>
      </c>
      <c r="B1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Practical assessment must occur in a workplace, or realistic simulated workplace, under the normal range of workplace conditions.
Simulations and scenarios may be used where situations cannot be provided in the workplace or may occur only rarely, in particular for situations relating to emergency procedures and adverse weather conditions where assessment would be unsafe, impractical or may lead to environmental damage.
Resources for assessment must include access to:
applicable documentation, such as legislation, regulations, codes of practice, safety management system (SMS), workplace procedures and operational manuals
a commercial vessel greater than or equal to 7.5 m in length
tools, equipment, machinery, materials and relevant personal protective equipment (PPE) that are currently used in industry.</v>
      </c>
    </row>
    <row r="11">
      <c r="A11" s="15" t="str">
        <v/>
      </c>
      <c r="B11" s="15" t="str">
        <v/>
      </c>
    </row>
    <row r="12" xml:space="preserve">
      <c r="A12" s="14" t="str">
        <v>CPCCLDG3001 Licence to perform dogging</v>
      </c>
      <c r="B12" s="14" t="str" xml:space="preserve">
        <v xml:space="preserve">Assessors must meet the requirements for assessors outlined in the Standards for Registered Training Organisations.
Only assessors who are accredited in the licence class by the appropriate WHS regulator for the jurisdiction governing the licence are permitted to conduct the final high-risk work licence assessment.
The final licence assessment will only be undertaken with candidates who have completed training and been formally assessed against all elements in this unit.
Assessment must be conducted in the workplace or in a simulated workplace environment using realistic workplace conditions, materials, activities, responsibilities, procedures, safety requirements and environmental considerations, including:
the use of full-scale, industry-standard equipment, not simulators
performance of tasks within the timelines expected in a workplace.
Candidates must have access to:
a slewing mobile crane of at least seven tonnes maximum rated capacity, and lifting equipment and gear in a safe and compliant condition
loads and equipment required to perform the tasks specified in the Performance Evidence
a licensed crane operator to undertake lifting activity
workplace information and records, including: equipment and maintenance checklists
record system for service and maintenance history
incident reports
workplace procedures, including emergency plan
equipment manuals and manufacturer specifications.</v>
      </c>
    </row>
    <row r="13">
      <c r="A13" s="15" t="str">
        <v/>
      </c>
      <c r="B13" s="15" t="str">
        <v/>
      </c>
    </row>
    <row r="14" xml:space="preserve">
      <c r="A14" s="14" t="str">
        <v>FBPFSY3002 Participate in a HACCP team</v>
      </c>
      <c r="B14" s="14" t="str" xml:space="preserve">
        <v xml:space="preserve">Assessment of the skills in this unit of competency must take place under the following conditions:
physical conditions:a workplace setting or an environment that accurately represents a real workplace
resources, equipment and materials:workplace food safety program documentation
specifications:review/audit arrangements
advice on quality and food safety legislation
procedures for developing or modifying specifications and other advice on food safety requirements
reporting/recording system
relationships (internal and/or external):interactions with team members.</v>
      </c>
    </row>
    <row r="15">
      <c r="A15" s="15" t="str">
        <v/>
      </c>
      <c r="B15" s="15" t="str">
        <v/>
      </c>
    </row>
    <row r="16" xml:space="preserve">
      <c r="A16" s="14" t="str">
        <v>SFIAQU213 Use waders safely in aquatic environments</v>
      </c>
      <c r="B16" s="14" t="str" xml:space="preserve">
        <v xml:space="preserve">Assessment of skills must take place under the following conditions:
physical conditions:skills must be demonstrated in an aquatic work environment or an environment that accurately represents workplace conditions
access to water of varying conditions and depths, including water too deep to stand up in
resources, equipment and materials:suitable clothing worn under waders
waders
wide adjustable belt, such as a diver webbing belt with quick release buckle
buoyant equipment
safety and rescue equipment, including personal flotation devices, ropes, poles or boat hook, bucket, container or similar object that can be used to assist flotation, and other equipment used to reach someone in difficulty
specifications:safety instructions relating to use of waders and water rescue
relationships:evidence of interactions with persons in need of assistance in realistic scenarios or role-plays.
Assessors of this unit must satisfy the requirements for assessors in applicable vocational education and training legislation, frameworks and/or standards.</v>
      </c>
    </row>
    <row r="17">
      <c r="A17" s="15" t="str">
        <v/>
      </c>
      <c r="B17" s="15" t="str">
        <v/>
      </c>
    </row>
    <row r="18" xml:space="preserve">
      <c r="A18" s="14" t="str">
        <v>SFIBIO401 Apply aquaculture biosecurity measures</v>
      </c>
      <c r="B18"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materials:information sources on biosecurity issues and risks
aquatic stock
specifications:access to organisation biosecurity plan
workplace procedures relating to biosecurity protocols, including identifying and responding to biosecurity risks
relationships:evidence of interactions with senior personnel and authorities.
Assessors of this unit must satisfy the requirements for assessors in applicable vocational education and training legislation, frameworks and/or standards.</v>
      </c>
    </row>
    <row r="19">
      <c r="A19" s="15" t="str">
        <v/>
      </c>
      <c r="B19" s="15" t="str">
        <v/>
      </c>
    </row>
    <row r="20" xml:space="preserve">
      <c r="A20" s="14" t="str">
        <v>SFIBIO301 Identify and report signs of aquatic disease or pests</v>
      </c>
      <c r="B2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materials:aquatic life
specifications:access to organisational/jurisdictional biosecurity plan
workplace procedures relating to biosecurity protocols, including identifying and responding to biosecurity risks
relationships:evidence of interactions with supervisor and authorities.
Assessors of this unit must satisfy the requirements for assessors in applicable vocational education and training legislation, frameworks and/or standards.</v>
      </c>
    </row>
    <row r="21">
      <c r="A21" s="15" t="str">
        <v/>
      </c>
      <c r="B21" s="15" t="str">
        <v/>
      </c>
    </row>
    <row r="22" xml:space="preserve">
      <c r="A22" s="14" t="str">
        <v>SFIFSH303 Construct nets and customise design</v>
      </c>
      <c r="B22" s="14" t="str" xml:space="preserve">
        <v xml:space="preserve">Assessment of skills must take place under the following conditions:
physical conditions:skills must be demonstrated in a net construction work setting or an environment that accurately represents workplace conditions
resources, equipment and materials:access to workplace documentation
different types of netting used to construct nets
net construction tools
personal protective equipment
specifications:net design specifications
workplace procedures for constructing nets.
Assessors of this unit must satisfy the requirements for assessors in applicable vocational education and training legislation, frameworks and/or standards.</v>
      </c>
    </row>
    <row r="23">
      <c r="A23" s="15" t="str">
        <v/>
      </c>
      <c r="B23" s="15" t="str">
        <v/>
      </c>
    </row>
    <row r="24" xml:space="preserve">
      <c r="A24" s="14" t="str">
        <v>SFIFSH301 Operate vessel deck machinery and lifting appliance</v>
      </c>
      <c r="B24" s="14" t="str" xml:space="preserve">
        <v xml:space="preserve">Assessment of skills must take place under the following conditions:
physical conditions:skills must be demonstrated in a fully operational aquaculture or fishing vessel or an environment that accurately represents workplace conditions
resources, equipment and materials:ropes, slings and/or chains
vessel deck machinery and lifting appliances
specifications:workplace procedures for lifting and hauling operations that include advice on health and safety requirements
manufacturer operating and maintenance instructions for deck machinery and lifting equipment
relationships:evidence of interactions with other crew members.
Assessors of this unit must satisfy the requirements for assessors in applicable vocational education and training legislation, frameworks and/or standards.</v>
      </c>
    </row>
    <row r="25">
      <c r="A25" s="15" t="str">
        <v/>
      </c>
      <c r="B25" s="15" t="str">
        <v/>
      </c>
    </row>
    <row r="26" xml:space="preserve">
      <c r="A26" s="14" t="str">
        <v>SFIFSH306 Manage and control fishing operations</v>
      </c>
      <c r="B26" s="14" t="str" xml:space="preserve">
        <v xml:space="preserve">Assessment of skills must take place under the following conditions:
physical conditions:skills must be demonstrated in a fishing operations environment or an environment that accurately represents workplace conditions
resources, equipment and materials:fully operational fishing vessel
reporting and monitoring systems
specifications:workplace procedures for fishing operations
access to fisheries and other relevant regulations
relationships:evidence of interactions with crew members.
Assessors of this unit must satisfy the requirements for assessors in applicable vocational education and training legislation, frameworks and/or standards.</v>
      </c>
    </row>
    <row r="27">
      <c r="A27" s="15" t="str">
        <v/>
      </c>
      <c r="B27" s="15" t="str">
        <v/>
      </c>
    </row>
    <row r="28" xml:space="preserve">
      <c r="A28" s="14" t="str">
        <v>BSBOPS601 Develop and implement business plans</v>
      </c>
      <c r="B28" s="14" t="str" xml:space="preserve">
        <v xml:space="preserve">Skills in this unit must be demonstrated in a workplace or simulated environment where the conditions are typical of those in a working environment in this industry.
This includes access to:
business information and data relevant to performance evidence.
Assessors of this unit must satisfy the requirements for assessors in applicable vocational education and training legislation, frameworks and/or standards.</v>
      </c>
    </row>
    <row r="29">
      <c r="A29" s="15" t="str">
        <v/>
      </c>
      <c r="B29" s="15" t="str">
        <v/>
      </c>
    </row>
    <row r="30" xml:space="preserve">
      <c r="A30" s="14" t="str">
        <v>BSBLDR414 Lead team effectiveness</v>
      </c>
      <c r="B30" s="14" t="str" xml:space="preserve">
        <v xml:space="preserve">Skills in this unit must be demonstrated in a workplace or simulated environment where the conditions are typical of those in a working environment in this industry.
This includes access to:
information about the organisation, including organisational structure, goals, objectives and plans.
Assessors of this unit must satisfy the requirements for assessors in applicable vocational education and training legislation, frameworks and/or standards.</v>
      </c>
    </row>
    <row r="31">
      <c r="A31" s="15" t="str">
        <v/>
      </c>
      <c r="B31" s="15" t="str">
        <v/>
      </c>
    </row>
    <row r="32" xml:space="preserve">
      <c r="A32" s="14" t="str">
        <v>CPCCLDG3001 Licence to perform dogging</v>
      </c>
      <c r="B32" s="14" t="str" xml:space="preserve">
        <v xml:space="preserve">Assessors must meet the requirements for assessors outlined in the Standards for Registered Training Organisations.
Only assessors who are accredited in the licence class by the appropriate WHS regulator for the jurisdiction governing the licence are permitted to conduct the final high-risk work licence assessment.
The final licence assessment will only be undertaken with candidates who have completed training and been formally assessed against all elements in this unit.
Assessment must be conducted in the workplace or in a simulated workplace environment using realistic workplace conditions, materials, activities, responsibilities, procedures, safety requirements and environmental considerations, including:
the use of full-scale, industry-standard equipment, not simulators
performance of tasks within the timelines expected in a workplace.
Candidates must have access to:
a slewing mobile crane of at least seven tonnes maximum rated capacity, and lifting equipment and gear in a safe and compliant condition
loads and equipment required to perform the tasks specified in the Performance Evidence
a licensed crane operator to undertake lifting activity
workplace information and records, including: equipment and maintenance checklists
record system for service and maintenance history
incident reports
workplace procedures, including emergency plan
equipment manuals and manufacturer specifications.</v>
      </c>
    </row>
    <row r="33">
      <c r="A33" s="15" t="str">
        <v/>
      </c>
      <c r="B33" s="15" t="str">
        <v/>
      </c>
    </row>
    <row r="34" xml:space="preserve">
      <c r="A34" s="14" t="str">
        <v>FBPFSY3001 Monitor the implementation of quality and food safety programs</v>
      </c>
      <c r="B34"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clothing and equipment as required
reporting and monitoring systems
specifications:food safety program for the work area that identifies critical control points, control measures and corrective actions
quality policy, system and procedures
relationships:interactions with work team and supervisor.
Assessors of this unit must satisfy the requirements for assessors in applicable vocational education and training legislation, frameworks and/or standards.</v>
      </c>
    </row>
    <row r="35">
      <c r="A35" s="15" t="str">
        <v/>
      </c>
      <c r="B35" s="15" t="str">
        <v/>
      </c>
    </row>
    <row r="36" xml:space="preserve">
      <c r="A36" s="14" t="str">
        <v>BSBSTR402 Implement continuous improvement</v>
      </c>
      <c r="B36" s="14" t="str" xml:space="preserve">
        <v xml:space="preserve">Skills in this unit must be demonstrated in a workplace or simulated environment where the conditions are typical of those in a working environment in this industry.
This includes access to:
workplace documentation and resources relevant to performance evidence.
Assessors of this unit must satisfy the requirements for assessors in applicable vocational education and training legislation, frameworks and/or standards.</v>
      </c>
    </row>
    <row r="37">
      <c r="A37" s="15" t="str">
        <v/>
      </c>
      <c r="B37" s="15" t="str">
        <v/>
      </c>
    </row>
    <row r="38" xml:space="preserve">
      <c r="A38" s="14" t="str">
        <v>FBPOPR3005 Operate interrelated processes in a production system</v>
      </c>
      <c r="B38" s="14" t="str" xml:space="preserve">
        <v xml:space="preserve">Assessment of skills must take place under the following conditions:
physical conditions:skills must be demonstrated in a workplace setting or an environment that accurately represents a real workplace
resources, equipment and materials:PPE
production system equipment and related accessories and services
materials/consumables required by the process
communication and recording systems and procedures
specifications:production schedule and related advice on system requirements
information on equipment capacity and operating parameters.
Assessors of this unit must satisfy the requirements for assessors in applicable vocational education and training legislation, frameworks and/or standards.</v>
      </c>
    </row>
    <row r="39">
      <c r="A39" s="15" t="str">
        <v/>
      </c>
      <c r="B39" s="15" t="str">
        <v/>
      </c>
    </row>
    <row r="40" xml:space="preserve">
      <c r="A40" s="14" t="str">
        <v>FBPFSY3002 Participate in a HACCP team</v>
      </c>
      <c r="B40" s="14" t="str" xml:space="preserve">
        <v xml:space="preserve">Assessment of the skills in this unit of competency must take place under the following conditions:
physical conditions:a workplace setting or an environment that accurately represents a real workplace
resources, equipment and materials:workplace food safety program documentation
specifications:review/audit arrangements
advice on quality and food safety legislation
procedures for developing or modifying specifications and other advice on food safety requirements
reporting/recording system
relationships (internal and/or external):interactions with team members.</v>
      </c>
    </row>
    <row r="41">
      <c r="A41" s="15" t="str">
        <v/>
      </c>
      <c r="B41" s="15" t="str">
        <v/>
      </c>
    </row>
    <row r="42" xml:space="preserve">
      <c r="A42" s="14" t="str">
        <v>FBPOPR2070 Apply quality systems and procedures</v>
      </c>
      <c r="B42" s="14" t="str" xml:space="preserve">
        <v xml:space="preserve">Assessment of the skills in this unit of competency must take place under the following conditions:
physical conditions:a workplace setting or an environment that accurately represents a real workplace
resources, equipment and materials:sampling and test procedures and related equipment
systems for recording quality information
specifications:work instructions
quality policy, system and procedures, including company codes of practice/good manufacturing practices (GMP).
Assessors of this unit must satisfy the requirements for assessors in applicable vocational education and training legislation, frameworks and/or standards.</v>
      </c>
    </row>
    <row r="43">
      <c r="A43" s="15" t="str">
        <v/>
      </c>
      <c r="B43" s="15" t="str">
        <v/>
      </c>
    </row>
    <row r="44" xml:space="preserve">
      <c r="A44" s="14" t="str">
        <v>SFIAQU101 Carry out basic aquaculture activities</v>
      </c>
      <c r="B4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suitable for the work activity
basic hand-held tools and equipment relevant to work activities
specifications:workplace procedures and specific instructions relevant to the activity
relationships:evidence of interactions with supervisor.
Assessors of this unit must satisfy the requirements for assessors in applicable vocational education and training legislation, frameworks and/or standards.</v>
      </c>
    </row>
    <row r="45">
      <c r="A45" s="15" t="str">
        <v/>
      </c>
      <c r="B45" s="15" t="str">
        <v/>
      </c>
    </row>
    <row r="46" xml:space="preserve">
      <c r="A46" s="14" t="str">
        <v>SFIAQU202 Handle stock</v>
      </c>
      <c r="B46"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materials:stock handling equipment
culture or holding structures
personal protective equipment
stock to be handled
data or recording sheets
specifications:work instructions and workplace procedures for handling stock
relationships:evidence of interactions with supervisor.
Assessors of this unit must satisfy the requirements for assessors in applicable vocational education and training legislation, frameworks and/or standards.</v>
      </c>
    </row>
    <row r="47">
      <c r="A47" s="15" t="str">
        <v/>
      </c>
      <c r="B47" s="15" t="str">
        <v/>
      </c>
    </row>
    <row r="48" xml:space="preserve">
      <c r="A48" s="14" t="str">
        <v>FBPOPR3006 Operate interrelated processes in a packaging system</v>
      </c>
      <c r="B48" s="14" t="str" xml:space="preserve">
        <v xml:space="preserve">Assessment of skills must take place under the following conditions:
physical conditions:skills must be demonstrated in a workplace setting or an environment that accurately represents a real workplace
resources, equipment and materials:personal protective equipment
production schedule and related advice on system requirements
packaging system equipment and related accessories and services
product, packaging components and consumables by the process
communication and recording systems and procedures
specifications:information on equipment capacity and operating parameters.
Assessors of this unit must satisfy the requirements for assessors in applicable vocational education and training legislation, frameworks and/or standards.</v>
      </c>
    </row>
    <row r="49">
      <c r="A49" s="15" t="str">
        <v/>
      </c>
      <c r="B49" s="15" t="str">
        <v/>
      </c>
    </row>
    <row r="50" xml:space="preserve">
      <c r="A50" s="14" t="str">
        <v>SFIAQU207 Monitor stock and environmental conditions</v>
      </c>
      <c r="B50"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materials:monitoring schedule
monitoring equipment for culture or holding stock and water
personal protective equipment
stock exhibiting a range of quality parameters in culture or holding structures
data or recording sheets
specifications:workplace procedures for monitoring stock and environmental conditions
relationships:evidence of interactions with supervisor.
Assessors of this unit must satisfy the requirements for assessors in applicable vocational education and training legislation, frameworks and/or standards.</v>
      </c>
    </row>
    <row r="51">
      <c r="A51" s="15" t="str">
        <v/>
      </c>
      <c r="B51" s="15" t="str">
        <v/>
      </c>
    </row>
    <row r="52" xml:space="preserve">
      <c r="A52" s="14" t="str">
        <v>SFIAQU205 Monitor water quality</v>
      </c>
      <c r="B52"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materials:monitoring schedule
culture and sampling equipment for stock culture environment
personal protective equipment
culture or holding environment to monitor
data or recording sheets
specifications:workplace procedures for monitoring environmental conditions
relationships:evidence of interactions with supervisor.
Assessors of this unit must satisfy the requirements for assessors in applicable vocational education and training legislation, frameworks and/or standards.</v>
      </c>
    </row>
    <row r="53">
      <c r="A53" s="15" t="str">
        <v/>
      </c>
      <c r="B53" s="15" t="str">
        <v/>
      </c>
    </row>
    <row r="54" xml:space="preserve">
      <c r="A54" s="14" t="str">
        <v>SFIAQU204 Undertake routine maintenance of water supply and disposal systems and structures</v>
      </c>
      <c r="B54" s="14" t="str" xml:space="preserve">
        <v xml:space="preserve">Assessment of skills must take place under the following conditions:
physical conditions:skills must be demonstrated in an aquaculture workplace setting or an environment that accurately represents workplace conditions
resources, equipment and materials:hand and power tools and parts relevant to the water supply and disposal system or structure
personal protective equipment
water supply and disposal system or structure
data or recording sheets
specifications:maintenance schedule or specific instructions for maintaining water supply and disposal systems or structures
workplace procedures relevant to maintaining water supply and disposal systems or structures
relationships:evidence of interactions with supervisor.
Assessors of this unit must satisfy the requirements for assessors in applicable vocational education and training legislation, frameworks and/or standards.</v>
      </c>
    </row>
    <row r="55">
      <c r="A55" s="15" t="str">
        <v/>
      </c>
      <c r="B55" s="15" t="str">
        <v/>
      </c>
    </row>
    <row r="56" xml:space="preserve">
      <c r="A56" s="14" t="str">
        <v>SFIAQU213 Use waders safely in aquatic environments</v>
      </c>
      <c r="B56" s="14" t="str" xml:space="preserve">
        <v xml:space="preserve">Assessment of skills must take place under the following conditions:
physical conditions:skills must be demonstrated in an aquatic work environment or an environment that accurately represents workplace conditions
access to water of varying conditions and depths, including water too deep to stand up in
resources, equipment and materials:suitable clothing worn under waders
waders
wide adjustable belt, such as a diver webbing belt with quick release buckle
buoyant equipment
safety and rescue equipment, including personal flotation devices, ropes, poles or boat hook, bucket, container or similar object that can be used to assist flotation, and other equipment used to reach someone in difficulty
specifications:safety instructions relating to use of waders and water rescue
relationships:evidence of interactions with persons in need of assistance in realistic scenarios or role-plays.
Assessors of this unit must satisfy the requirements for assessors in applicable vocational education and training legislation, frameworks and/or standards.</v>
      </c>
    </row>
    <row r="57">
      <c r="A57" s="15" t="str">
        <v/>
      </c>
      <c r="B57" s="15" t="str">
        <v/>
      </c>
    </row>
    <row r="58" xml:space="preserve">
      <c r="A58" s="14" t="str">
        <v>SFIAQU212 Operate and maintain a recirculating aquaculture system</v>
      </c>
      <c r="B58"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materials:basic tools and equipment to complete repairs and maintenance
equipment to operate the system and maintain water quality
personal protective equipment
recirculating aquaculture system (RAS) with high technology components
spare parts and repair materials
water monitoring equipment
data or recording sheets
specifications:specific instructions, work plan or schedule and workplace procedures for operating and maintaining high technology water treatment components
relationships:evidence of interactions with supervisor.
Assessors of this unit must satisfy the requirements for assessors in applicable vocational education and training legislation, frameworks and/or standards.</v>
      </c>
    </row>
    <row r="59">
      <c r="A59" s="15" t="str">
        <v/>
      </c>
      <c r="B59" s="15" t="str">
        <v/>
      </c>
    </row>
    <row r="60" xml:space="preserve">
      <c r="A60" s="14" t="str">
        <v>SFIAQU211 Maintain stock culture, holding and other farm structures</v>
      </c>
      <c r="B60"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materials:personal protective clothing and equipment appropriate for tasks
tools, equipment and repair materials relevant to tasks
stock culture or holding structures, farm structures and areas of property in need of maintenance
data or recording sheets
specifications:specific instructions and workplace procedures for repairs and maintenance, including advice on health and safety requirements
relationships:evidence of interactions with supervisor.
Assessors of this unit must satisfy the requirements for assessors in applicable vocational education and training legislation, frameworks and/or standards.</v>
      </c>
    </row>
    <row r="61">
      <c r="A61" s="15" t="str">
        <v/>
      </c>
      <c r="B61" s="15" t="str">
        <v/>
      </c>
    </row>
    <row r="62" xml:space="preserve">
      <c r="A62" s="14" t="str">
        <v>SFIAQU217 Feed stock</v>
      </c>
      <c r="B62" s="14" t="str" xml:space="preserve">
        <v xml:space="preserve">Assessment of the skills in this unit of competency must take place under the following conditions:
physical conditions:skills must be demonstrated in an aquaculture workplace setting or an environment that accurately represents workplace conditions
resources, equipment and materials:feeding equipment appropriate for stock and workplace
stock to feed
feed for stock
specifications:feeding schedule and workplace procedures for feeding stock
relationship:supervisor.
Assessors of this unit must satisfy the requirements for assessors in applicable vocational education and training legislation, frameworks and/or standards.</v>
      </c>
    </row>
    <row r="63">
      <c r="A63" s="15" t="str">
        <v/>
      </c>
      <c r="B63" s="15" t="str">
        <v/>
      </c>
    </row>
    <row r="64" xml:space="preserve">
      <c r="A64" s="14" t="str">
        <v>SFIAQU302 Construct or install stock culture, holding and farm structures</v>
      </c>
      <c r="B6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materials:tools, equipment and materials as identified in the construction plan
personal protective equipment
site for construction or installation
recording or reporting form
specifications:construction or installation plan
workplace procedures for construction and installation tasks, including advice on health and safety requirements
relationships:evidence of interactions with supervisor.
Assessors of this unit must satisfy the requirements for assessors in applicable vocational education and training legislation, frameworks and/or standards.</v>
      </c>
    </row>
    <row r="65">
      <c r="A65" s="15" t="str">
        <v/>
      </c>
      <c r="B65" s="15" t="str">
        <v/>
      </c>
    </row>
    <row r="66" xml:space="preserve">
      <c r="A66" s="14" t="str">
        <v>SFIAQU214 Control predators and pests</v>
      </c>
      <c r="B66"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materials:equipment to install, erect, repair and maintain predator or pest control structures
personal protective equipment
culture or holding structures that contain stock threatened by actual and/or potential predators or pests
data or recording sheets
specifications:instructions and workplace procedures for controlling predators and pests
relationships:evidence of interactions with supervisor.
Assessors of this unit must satisfy the requirements for assessors in applicable vocational education and training legislation, frameworks and/or standards.</v>
      </c>
    </row>
    <row r="67">
      <c r="A67" s="15" t="str">
        <v/>
      </c>
      <c r="B67" s="15" t="str">
        <v/>
      </c>
    </row>
    <row r="68" xml:space="preserve">
      <c r="A68" s="14" t="str">
        <v>SFIAQU305 Monitor harvest and post-harvest activities</v>
      </c>
      <c r="B6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equipment required for harvest and post-harvest tasks
stock to harvest
containers and labels for packing
recording or reporting forms
specifications:harvest specification or schedule and relevant workplace procedures for harvesting aquatic stock
relationships:evidence of interactions with supervisor and team members.
Assessors of this unit must satisfy the requirements for assessors in applicable vocational education and training legislation, frameworks and/or standards.</v>
      </c>
    </row>
    <row r="69">
      <c r="A69" s="15" t="str">
        <v/>
      </c>
      <c r="B69" s="15" t="str">
        <v/>
      </c>
    </row>
    <row r="70" xml:space="preserve">
      <c r="A70" s="14" t="str">
        <v>SFIAQU304 Maintain water quality and environmental monitoring</v>
      </c>
      <c r="B70"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materials:monitoring equipment
water quality sampling tests
personal protective equipment
culture or holding structure and medium
recording or reporting forms
specifications:workplace procedures for monitoring water quality and environmental factors, including advice on health and safety requirements
relationships:evidence of interactions with team members.
Assessors of this unit must satisfy the requirements for assessors in applicable vocational education and training legislation, frameworks and/or standards.</v>
      </c>
    </row>
    <row r="71">
      <c r="A71" s="15" t="str">
        <v/>
      </c>
      <c r="B71" s="15" t="str">
        <v/>
      </c>
    </row>
    <row r="72" xml:space="preserve">
      <c r="A72" s="14" t="str">
        <v>SFIAQU303 Monitor stock handling activities</v>
      </c>
      <c r="B72"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materials:stock to be handled
stock culture, holding and farm structures
equipment required for the handling activities
personal protective equipment
workplace data recording or reporting forms
specifications:workplace procedures for stock handling activities, including advice on health and safety requirements
relationships:interactions with supervisor and team members.
Assessors of this unit must satisfy the requirements for assessors in applicable vocational education and training legislation, frameworks and/or standards.</v>
      </c>
    </row>
    <row r="73">
      <c r="A73" s="15" t="str">
        <v/>
      </c>
      <c r="B73" s="15" t="str">
        <v/>
      </c>
    </row>
    <row r="74" xml:space="preserve">
      <c r="A74" s="14" t="str">
        <v>SFIAQU308 Support hatchery operations</v>
      </c>
      <c r="B74" s="14" t="str" xml:space="preserve">
        <v xml:space="preserve">Assessment of the skills in this unit of competency must take place under the following conditions:
physical conditions:skills must be demonstrated in an aquaculture hatchery or an environment that accurately represents workplace conditions
resources, equipment and materials:broodstock or seedstock
equipment for caring for and raising progeny
monitoring equipment
specifications:hatchery production schedule and workplace procedures for hatchery operations, including advice on health and safety, hygiene and environmental requirements
relationships:evidence of interactions with supervisor and team members.
Assessors of this unit must satisfy the requirements for assessors in applicable vocational education and training legislation, frameworks and/or standards.</v>
      </c>
    </row>
    <row r="75">
      <c r="A75" s="15" t="str">
        <v/>
      </c>
      <c r="B75" s="15" t="str">
        <v/>
      </c>
    </row>
    <row r="76" xml:space="preserve">
      <c r="A76" s="14" t="str">
        <v>SFIAQU309 Carry out emergency procedures</v>
      </c>
      <c r="B76"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emergency equipment relevant to the particular incident or emergency
specifications:workplace and emergencies procedures
contingency plans and loss-minimisation strategies
relationships:evidence of interactions with supervisor, team members and third parties.
Assessors of this unit must satisfy the requirements for assessors in applicable vocational education and training legislation, frameworks and/or standards.</v>
      </c>
    </row>
    <row r="77">
      <c r="A77" s="15" t="str">
        <v/>
      </c>
      <c r="B77" s="15" t="str">
        <v/>
      </c>
    </row>
    <row r="78" xml:space="preserve">
      <c r="A78" s="14" t="str">
        <v>SFIAQU307 Monitor the operations of a recirculating aquaculture system</v>
      </c>
      <c r="B78"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recirculating aquaculture system components
water monitoring equipment
other equipment as needed to operate the system and maintain water quality
spare parts and repair materials
forms or systems for recording data
specifications:workplace requirements for basic and advanced environmental parameters, and water quality parameters for culture or holding stock
work plan, schedule or work instructions for the operation and maintenance of recirculating aquaculture system components
workplace procedures for operating and maintaining recirculating aquaculture systems
manufacturer instructions for operating and maintaining high technology water treatment system or components
relationships:evidence of interactions with supervisor and team members.
Assessors of this unit must satisfy the requirements for assessors in applicable vocational education and training legislation, frameworks and/or standards.</v>
      </c>
    </row>
    <row r="79">
      <c r="A79" s="15" t="str">
        <v/>
      </c>
      <c r="B79" s="15" t="str">
        <v/>
      </c>
    </row>
    <row r="80" xml:space="preserve">
      <c r="A80" s="14" t="str">
        <v>SFIAQU402 Coordinate construction or installation of stock culture, holding and farm structures</v>
      </c>
      <c r="B80" s="14" t="str" xml:space="preserve">
        <v xml:space="preserve">Assessment of skills must take place under the following conditions:
physical conditions:skills must be demonstrated in an aquaculture workplace or an environment that accurately represents workplace conditions
specifications:design specifications for structures, including water supply and disposal system, to be constructed or installed
workplace procedures and construction schedule
manufacturer specifications for installation and maintenance of equipment or systems
relationships:evidence of interaction with staff member and others involved in the construction of stock culture or holding structures, and farm structures.
Assessors of this unit must satisfy the requirements for assessors in applicable vocational education and training legislation, frameworks and/or standards.</v>
      </c>
    </row>
    <row r="81">
      <c r="A81" s="15" t="str">
        <v/>
      </c>
      <c r="B81" s="15" t="str">
        <v/>
      </c>
    </row>
    <row r="82" xml:space="preserve">
      <c r="A82" s="14" t="str">
        <v>SFIAQU315 Apply control measures for diseases</v>
      </c>
      <c r="B82" s="14" t="str" xml:space="preserve">
        <v xml:space="preserve">Assessment of the skills in this unit of competency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disease
medications, chemicals or products used in the treatment of diseases
specifications:workplace procedures for the control of disease
relationships:evidence of interactions with supervisor.
Assessors of this unit must satisfy the requirements for assessors in applicable vocational education and training legislation, frameworks and/or standards.</v>
      </c>
    </row>
    <row r="83">
      <c r="A83" s="15" t="str">
        <v/>
      </c>
      <c r="B83" s="15" t="str">
        <v/>
      </c>
    </row>
    <row r="84" xml:space="preserve">
      <c r="A84" s="14" t="str">
        <v>SFIAQU310 Apply control measures for predators and pests</v>
      </c>
      <c r="B84"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materials:personal protective equipment
culture or holding structures and stock
equipment for controlling or preventing predators and pests from harming stock
treatments or products used in the control of predators and pests
specifications:workplace procedures for the control of predators and pests
relationships:evidence of interactions with supervisor.
Assessors of this unit must satisfy the requirements for assessors in applicable vocational education and training legislation, frameworks and/or standards.</v>
      </c>
    </row>
    <row r="85">
      <c r="A85" s="15" t="str">
        <v/>
      </c>
      <c r="B85" s="15" t="str">
        <v/>
      </c>
    </row>
    <row r="86" xml:space="preserve">
      <c r="A86" s="14" t="str">
        <v>SFIBIO401 Apply aquaculture biosecurity measures</v>
      </c>
      <c r="B86" s="14" t="str" xml:space="preserve">
        <v xml:space="preserve">Assessment of skills must take place under the following conditions:
physical conditions:skills must be demonstrated in an aquaculture workplace or an environment that accurately represents workplace conditions
resources, equipment and materials:information sources on biosecurity issues and risks
aquatic stock
specifications:access to organisation biosecurity plan
workplace procedures relating to biosecurity protocols, including identifying and responding to biosecurity risks
relationships:evidence of interactions with senior personnel and authorities.
Assessors of this unit must satisfy the requirements for assessors in applicable vocational education and training legislation, frameworks and/or standards.</v>
      </c>
    </row>
    <row r="87">
      <c r="A87" s="15" t="str">
        <v/>
      </c>
      <c r="B87" s="15" t="str">
        <v/>
      </c>
    </row>
    <row r="88" xml:space="preserve">
      <c r="A88" s="14" t="str">
        <v>SFIDIV301 Work effectively as a diver in the seafood industry</v>
      </c>
      <c r="B88" s="14" t="str" xml:space="preserve">
        <v xml:space="preserve">Assessment of skills must take place under the following conditions:
physical conditions:skills must be demonstrated in a dive site or an environment that accurately represents workplace conditions
resources, equipment and materials:sources on industry, government bodies and diving qualifications
relevant diving equipment
current first aid manuals
specifications:access to diving regulations and codes of practice as they apply to the seafood industry
workplace procedures for diving operations that include advice on health and safety requirements.
Assessors of this unit must satisfy the requirements for assessors in applicable vocational education and training legislation, frameworks and/or standards.</v>
      </c>
    </row>
    <row r="89">
      <c r="A89" s="15" t="str">
        <v/>
      </c>
      <c r="B89" s="15" t="str">
        <v/>
      </c>
    </row>
    <row r="90" xml:space="preserve">
      <c r="A90" s="14" t="str">
        <v>SFIBIO301 Identify and report signs of aquatic disease or pests</v>
      </c>
      <c r="B9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materials:aquatic life
specifications:access to organisational/jurisdictional biosecurity plan
workplace procedures relating to biosecurity protocols, including identifying and responding to biosecurity risks
relationships:evidence of interactions with supervisor and authorities.
Assessors of this unit must satisfy the requirements for assessors in applicable vocational education and training legislation, frameworks and/or standards.</v>
      </c>
    </row>
    <row r="91">
      <c r="A91" s="15" t="str">
        <v/>
      </c>
      <c r="B91" s="15" t="str">
        <v/>
      </c>
    </row>
    <row r="92" xml:space="preserve">
      <c r="A92" s="14" t="str">
        <v>SFIDIV306 Perform underwater work in the aquaculture sector</v>
      </c>
      <c r="B92" s="14" t="str" xml:space="preserve">
        <v xml:space="preserve">Assessment of skills must take place under the following conditions:
physical conditions:skills must be demonstrated in a diving environment in an aquaculture setting or an environment that accurately represents workplace conditions
resources, equipment and materials:diving equipment
aquaculture apparatus and associated equipment
basic hand tools used in the aquaculture sector
underwater auxiliary devices
specifications:workplace procedures for performing underwater work that include advice on health and safety requirements
manufacturer instructions for basic hand tools.
Assessors of this unit must satisfy the requirements for assessors in applicable vocational education and training legislation, frameworks and/or standards.</v>
      </c>
    </row>
    <row r="93">
      <c r="A93" s="15" t="str">
        <v/>
      </c>
      <c r="B93" s="15" t="str">
        <v/>
      </c>
    </row>
    <row r="94" xml:space="preserve">
      <c r="A94" s="14" t="str">
        <v>SFIDIV304 Undertake emergency procedures in diving operations using SSBA</v>
      </c>
      <c r="B94"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for SSBA diving operations
emergency equipment
specifications:workplace procedures for SSBA diving operations that include advice on emergency and safety requirements
relationships:evidence of interactions with surface team.
Assessors of this unit must satisfy the requirements for assessors in applicable vocational education and training legislation, frameworks and/or standards.</v>
      </c>
    </row>
    <row r="95">
      <c r="A95" s="15" t="str">
        <v/>
      </c>
      <c r="B95" s="15" t="str">
        <v/>
      </c>
    </row>
    <row r="96" xml:space="preserve">
      <c r="A96" s="14" t="str">
        <v>SFIDIV302 Perform diving operations using SSBA</v>
      </c>
      <c r="B96" s="14" t="str" xml:space="preserve">
        <v xml:space="preserve">Assessment of skills must take place under the following conditions:
physical conditions:skills must be demonstrated in a diving environment or an environment that accurately represents workplace conditions
resources, equipment and materials:diving equipment, tools and accessories for SSBA diving operations
dive tables and dive-related information
proforma for developing a dive plan and risk assessment
specifications:workplace procedures for performing SSBA diving operations that include advice on emergency situations
access to industry occupational diving guidelines
relationships:evidence of interactions with dive team.
Assessors of this unit must satisfy the requirements for assessors in applicable vocational education and training legislation, frameworks and/or standards.</v>
      </c>
    </row>
    <row r="97">
      <c r="A97" s="15" t="str">
        <v/>
      </c>
      <c r="B97" s="15" t="str">
        <v/>
      </c>
    </row>
    <row r="98" xml:space="preserve">
      <c r="A98" s="14" t="str">
        <v>SFIFSH201 Assemble and repair damaged netting</v>
      </c>
      <c r="B98" s="14" t="str" xml:space="preserve">
        <v xml:space="preserve">Assessment of skills must take place under the following conditions:
physical conditions:skills must be demonstrated in a fully operational net repair area of a fishing operations workplace or an environment that accurately represents workplace conditions
resources, equipment and materials:personal protective equipment
different types of netting requiring repair
repair tools
specifications:workplace procedures for fishing netting repairs that include advice on health and safety and environmental requirements
relationships:evidence of interactions with supervisor.
Assessors of this unit must satisfy the requirements for assessors in applicable vocational education and training legislation, frameworks and/or standards.</v>
      </c>
    </row>
    <row r="99">
      <c r="A99" s="15" t="str">
        <v/>
      </c>
      <c r="B99" s="15" t="str">
        <v/>
      </c>
    </row>
    <row r="100" xml:space="preserve">
      <c r="A100" s="14" t="str">
        <v>SFIEMS401 Implement and monitor environmentally sustainable work practices</v>
      </c>
      <c r="B100"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and information sources
relevant legislation, standards and guidelines
relationships:evidence of interactions with team members and management.
Assessors of this unit must satisfy the requirements for assessors in applicable vocational education and training legislation, frameworks and/or standards.</v>
      </c>
    </row>
    <row r="101">
      <c r="A101" s="15" t="str">
        <v/>
      </c>
      <c r="B101" s="15" t="str">
        <v/>
      </c>
    </row>
    <row r="102" xml:space="preserve">
      <c r="A102" s="14" t="str">
        <v>SFIEMS201 Participate in environmentally sustainable work practices</v>
      </c>
      <c r="B102"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materials:access to relevant workplace documentation
specifications:relevant workplace procedures that include advice on environmental requirements and environmentally sustainable work practices.
Assessors of this unit must satisfy the requirements for assessors in applicable vocational education and training legislation, frameworks and/or standards.</v>
      </c>
    </row>
    <row r="103">
      <c r="A103" s="15" t="str">
        <v/>
      </c>
      <c r="B103" s="15" t="str">
        <v/>
      </c>
    </row>
    <row r="104" xml:space="preserve">
      <c r="A104" s="14" t="str">
        <v>SFIFSH303 Construct nets and customise design</v>
      </c>
      <c r="B104" s="14" t="str" xml:space="preserve">
        <v xml:space="preserve">Assessment of skills must take place under the following conditions:
physical conditions:skills must be demonstrated in a net construction work setting or an environment that accurately represents workplace conditions
resources, equipment and materials:access to workplace documentation
different types of netting used to construct nets
net construction tools
personal protective equipment
specifications:net design specifications
workplace procedures for constructing nets.
Assessors of this unit must satisfy the requirements for assessors in applicable vocational education and training legislation, frameworks and/or standards.</v>
      </c>
    </row>
    <row r="105">
      <c r="A105" s="15" t="str">
        <v/>
      </c>
      <c r="B105" s="15" t="str">
        <v/>
      </c>
    </row>
    <row r="106" xml:space="preserve">
      <c r="A106" s="14" t="str">
        <v>SFIFSH302 Perform breath-hold diving operations</v>
      </c>
      <c r="B106" s="14" t="str" xml:space="preserve">
        <v xml:space="preserve">Assessment of skills must take place under the following conditions:
physical conditions:skills must be demonstrated in a swimming area of a fishing operation or aquaculture setting or an environment that accurately represents workplace conditions
resources, equipment and materials:diving equipment
specifications:workplace procedures for diving operations that include advice on safe diving practices
relationships:evidence of interactions with diving assistant or observer.
Assessors of this unit must satisfy the requirements for assessors in applicable vocational education and training legislation, frameworks and/or standards.</v>
      </c>
    </row>
    <row r="107">
      <c r="A107" s="15" t="str">
        <v/>
      </c>
      <c r="B107" s="15" t="str">
        <v/>
      </c>
    </row>
    <row r="108" xml:space="preserve">
      <c r="A108" s="14" t="str">
        <v>SFIFSH301 Operate vessel deck machinery and lifting appliance</v>
      </c>
      <c r="B108" s="14" t="str" xml:space="preserve">
        <v xml:space="preserve">Assessment of skills must take place under the following conditions:
physical conditions:skills must be demonstrated in a fully operational aquaculture or fishing vessel or an environment that accurately represents workplace conditions
resources, equipment and materials:ropes, slings and/or chains
vessel deck machinery and lifting appliances
specifications:workplace procedures for lifting and hauling operations that include advice on health and safety requirements
manufacturer operating and maintenance instructions for deck machinery and lifting equipment
relationships:evidence of interactions with other crew members.
Assessors of this unit must satisfy the requirements for assessors in applicable vocational education and training legislation, frameworks and/or standards.</v>
      </c>
    </row>
    <row r="109">
      <c r="A109" s="15" t="str">
        <v/>
      </c>
      <c r="B109" s="15" t="str">
        <v/>
      </c>
    </row>
    <row r="110" xml:space="preserve">
      <c r="A110" s="14" t="str">
        <v>SFIFSH305 Locate fishing grounds and stocks of fish</v>
      </c>
      <c r="B110" s="14" t="str" xml:space="preserve">
        <v xml:space="preserve">Assessment of skills must take place under the following conditions:
physical conditions:skills must be demonstrated in a fishing operation setting or an environment that accurately represents workplace conditions
resources, equipment and materials:electronic aids for locating fish
navigational and fishing charts
logs of fishing operations and other sources of information used to make decisions on fishing operations
specifications:workplace procedures for fishing operations that include advice on health and safety and environmental requirements.
Assessors of this unit must satisfy the requirements for assessors in applicable vocational education and training legislation, frameworks and/or standards.</v>
      </c>
    </row>
    <row r="111">
      <c r="A111" s="15" t="str">
        <v/>
      </c>
      <c r="B111" s="15" t="str">
        <v/>
      </c>
    </row>
    <row r="112" xml:space="preserve">
      <c r="A112" s="14" t="str">
        <v>SFIFSH306 Manage and control fishing operations</v>
      </c>
      <c r="B112" s="14" t="str" xml:space="preserve">
        <v xml:space="preserve">Assessment of skills must take place under the following conditions:
physical conditions:skills must be demonstrated in a fishing operations environment or an environment that accurately represents workplace conditions
resources, equipment and materials:fully operational fishing vessel
reporting and monitoring systems
specifications:workplace procedures for fishing operations
access to fisheries and other relevant regulations
relationships:evidence of interactions with crew members.
Assessors of this unit must satisfy the requirements for assessors in applicable vocational education and training legislation, frameworks and/or standards.</v>
      </c>
    </row>
    <row r="113">
      <c r="A113" s="15" t="str">
        <v/>
      </c>
      <c r="B113" s="15" t="str">
        <v/>
      </c>
    </row>
    <row r="114" xml:space="preserve">
      <c r="A114" s="14" t="str">
        <v>SFIFSH304 Adjust and position fishing gear</v>
      </c>
      <c r="B114" s="14" t="str" xml:space="preserve">
        <v xml:space="preserve">Assessment of skills must take place under the following conditions:
physical conditions:skills must be demonstrated in a fully operational fishing vessel or an environment that accurately represents workplace conditions
resources, equipment and materials:access to stocks of appropriate target species
fishing gear and related equipment
specifications:workplace procedures for fishing operations that include advice on health and safety and environmental requirements
vessel operating and safety procedures
relationships:evidence of interactions with team members.
Assessors of this unit must satisfy the requirements for assessors in applicable vocational education and training legislation, frameworks and/or standards.</v>
      </c>
    </row>
    <row r="115">
      <c r="A115" s="15" t="str">
        <v/>
      </c>
      <c r="B115" s="15" t="str">
        <v/>
      </c>
    </row>
    <row r="116" xml:space="preserve">
      <c r="A116" s="14" t="str">
        <v>SFISTR202 Receive and distribute product</v>
      </c>
      <c r="B116" s="14" t="str" xml:space="preserve">
        <v xml:space="preserve">Assessment of skills must take place under the following conditions:
physical conditions:skills must be demonstrated in a seafood distribution workplace setting or an environment that accurately represents workplace conditions
resources, equipment and materials:personal protective equipment
calculator
fish tubs
fresh, frozen and/or live seafood product
ice, live seafood storage tanks and packaging material
scales
thermometer or temperature recording devices
product packaging and labels
dispatch forms
specifications:customer specifications for product order
workplace procedures for receiving and distributing seafood product, including advice on food safety and work health and safety requirements
relationships:evidence of interactions with customer and relevant personnel.
Assessors of this unit must satisfy the requirements for assessors in applicable vocational education and training legislation, frameworks and/or standards.</v>
      </c>
    </row>
    <row r="117">
      <c r="A117" s="15" t="str">
        <v/>
      </c>
      <c r="B117" s="15" t="str">
        <v/>
      </c>
    </row>
    <row r="118" xml:space="preserve">
      <c r="A118" s="14" t="str">
        <v>SFISTR201 Prepare, pack and dispatch non-live product</v>
      </c>
      <c r="B118" s="14" t="str" xml:space="preserve">
        <v xml:space="preserve">Assessment of skills must take place under the following conditions:
physical conditions:skills must be demonstrated in a seafood dispatch workplace setting or an environment that accurately represents workplace conditions
resources, equipment and materials:personal protective equipment
calculator
data sheets for recording information
fish tubs or other transport containers
fresh and/or frozen seafood or other aquatic product
ice, and live seafood storage tanks
packaging materials
scales
thermometer or temperature recording devices
specifications:company specifications
stock order specifications
workplace procedures for packing and dispatching stock for live transport, including advice on food safety, health and safety, environmental and transport requirements
relationships:evidence of interactions with supervisor.
Assessors of this unit must satisfy the requirements for assessors in applicable vocational education and training legislation, frameworks and/or standards.</v>
      </c>
    </row>
    <row r="119">
      <c r="A119" s="15" t="str">
        <v/>
      </c>
      <c r="B119" s="15" t="str">
        <v/>
      </c>
    </row>
    <row r="120" xml:space="preserve">
      <c r="A120" s="14" t="str">
        <v>SFIPRO301 Monitor hygiene and sanitation requirements</v>
      </c>
      <c r="B120" s="14" t="str" xml:space="preserve">
        <v xml:space="preserve">Assessment of skills must take place under the following conditions:
physical conditions:skills must be demonstrated in seafood processing, wholesale or retail workplace or an environment that accurately represents workplace conditions
resources, equipment and materials:resources on hygiene and sanitation control
hygiene and sanitation monitoring recording system
specifications:workplace procedures for workplace hygiene and sanitation control
relationships:evidence of interactions with other workers.
Assessors of this unit must satisfy the requirements for assessors in applicable vocational education and training legislation, frameworks and/or standards.</v>
      </c>
    </row>
    <row r="121">
      <c r="A121" s="15" t="str">
        <v/>
      </c>
      <c r="B121" s="15" t="str">
        <v/>
      </c>
    </row>
    <row r="122" xml:space="preserve">
      <c r="A122" s="14" t="str">
        <v>SFIWHS201 Meet workplace health and safety requirements</v>
      </c>
      <c r="B122" s="14" t="str" xml:space="preserve">
        <v xml:space="preserve">Assessment of skills must take place under the following conditions:
physical conditions:skills must be demonstrated in a seafood industry workplace or a simulated environment that accurately reflects workplace conditions
resources, equipment and materials:equipment and resources appropriate to work undertaken in a seafood industry environment
specifications:relevant workplace policies and procedures that include advice on workplace health and safety requirements
relationships:evidence of interactions with supervisor and team members.
Assessor of this unit must satisfy the requirements for assessors in applicable vocational education and training legislation, frameworks and/or standards.</v>
      </c>
    </row>
    <row r="123">
      <c r="A123" s="15" t="str">
        <v/>
      </c>
      <c r="B123" s="15" t="str">
        <v/>
      </c>
    </row>
    <row r="124" xml:space="preserve">
      <c r="A124" s="14" t="str">
        <v>SFISTR302 Supervise storage of temperature controlled stock</v>
      </c>
      <c r="B124" s="14" t="str" xml:space="preserve">
        <v xml:space="preserve">Assessment of skills must take place under the following conditions:
physical conditions:skills must be demonstrated in a seafood controlled temperature storage facility or an environment that accurately represents workplace conditions
resources, equipment and materials:seafood stock requiring storage
temperature monitoring instruments
personal protective equipment
seafood stock handling and rotation systems
specifications:workplace procedures for monitoring seafood temperature controlled stock, including advice on health and safety, food safety and quality requirements.
Assessors of this unit must satisfy the requirements for assessors in applicable vocational education and training legislation, frameworks and/or standards.</v>
      </c>
    </row>
    <row r="125">
      <c r="A125" s="15" t="str">
        <v/>
      </c>
      <c r="B125" s="15" t="str">
        <v/>
      </c>
    </row>
    <row r="126" xml:space="preserve">
      <c r="A126" s="14" t="str">
        <v>SFISTR301 Operate refrigerated storerooms</v>
      </c>
      <c r="B126" s="14" t="str" xml:space="preserve">
        <v xml:space="preserve">Assessment of skills must take place under the following conditions:
physical conditions:skills must be demonstrated in a seafood refrigerated storage workplace setting or an environment that accurately represents workplace conditions
resources, equipment and materials:personal protective equipment
chilled and fresh seafood, such as whole fish, fish fillets, opened raw oysters and cooked crustaceans
refrigerated storage room
freezer storage room and cartons of frozen product with different date-of-production labels
ice and ice-moving equipment
temperature recording devices
specifications:company specifications
stock order specifications
workplace procedures for setting and managing refrigerated storerooms, including advice on food safety and hygiene, health and safety, and environmental requirements.
Assessors of this unit must satisfy the requirements for assessors in applicable vocational education and training legislation, frameworks and/or standards.</v>
      </c>
    </row>
    <row r="127">
      <c r="A127" s="15" t="str">
        <v/>
      </c>
      <c r="B127" s="15" t="str">
        <v/>
      </c>
    </row>
    <row r="128" xml:space="preserve">
      <c r="A128" s="14" t="str">
        <v>SFIXSI101 Apply basic seafood handling and safety practices</v>
      </c>
      <c r="B128" s="14" t="str" xml:space="preserve">
        <v xml:space="preserve">Assessment of skills must take place under the following conditions:
physical conditions:skills must be demonstrated in a seafood industry workplace or an environment that accurately represents workplace conditions
resources, equipment and materials:equipment and tools for applying basic food handling and safety practices
personal protective equipment suitable for applying basic food handling and safety practices
template reports and documents for applying basic food handling and safety practices
specifications:manufacturer instructions for use and maintenance of equipment
workplace food safety program
workplace procedures for applying basic food handling and safety practices.
Assessors of this unit must satisfy the requirements for assessors in applicable vocational education and training legislation, frameworks and/or standards.</v>
      </c>
    </row>
    <row r="129">
      <c r="A129" s="15" t="str">
        <v/>
      </c>
      <c r="B129" s="15" t="str">
        <v/>
      </c>
    </row>
    <row r="130" xml:space="preserve">
      <c r="A130" s="14" t="str">
        <v>SISOSCB008 SCUBA dive using Enriched Air Nitrox</v>
      </c>
      <c r="B130" s="14" t="str" xml:space="preserve">
        <v xml:space="preserve">Skills must be demonstrated in an open water site suitable for EANx diving.
Dives can be completed from either boats or from the shore.
During assessment:
direct vertical access to the surface must be possible; aquatic plants are not considered an overhead obstruction
the following resources must be available to replicate industry conditions of operation:first aid equipment
oxygen equipment
communication equipment for emergency response
diver flags of a type and size that meet local maritime regulator requirements.
Assessment must ensure use of:
a diving buddy with whom the candidate can dive
fins
masks
snorkels
clearly marked and designated Enriched Air Nitrox cylinders and valves, including stickers and tags which comply with local regulations
buoyancy control devices with low-pressure inflators
regulators suitable for use with enriched air
submersible pressure gauges
alternate air source
weight ballast systems
exposure suits suitable for conditions
timing devices
depth gauges
oxygen analysers
dive computers compatible for use with EANx defined as a dive computers that calculate adjusted no stop (no decompression limits) and oxygen exposure for differing blends of enriched air
Enriched Air fill log pages.
Assessors must satisfy the Standards for Registered Training Organisations requirements for assessors, and:
be an individual who is currently certified and sanctioned by an industry authorised organisation to teach and assess enriched air nitrox SCUBA diving and to authorise the issuance of enriched air certification (C-Card).</v>
      </c>
    </row>
    <row r="131">
      <c r="A131" s="15" t="str">
        <v/>
      </c>
      <c r="B131" s="15" t="str">
        <v/>
      </c>
    </row>
    <row r="132" xml:space="preserve">
      <c r="A132" s="14" t="str">
        <v>SISOSCB001 SCUBA dive in open water to a maximum depth of 18 metres</v>
      </c>
      <c r="B132" s="14" t="str" xml:space="preserve">
        <v xml:space="preserve">Skills must be demonstrated in an open water site during daylight hours.
Dives can be completed from either a boat or from the shore.
During assessment:
direct vertical access to the surface must be possible; aquatic plants are not considered an overhead obstruction
the first two of the four required open water dives must include at least 20 minutes at a depth between 5 and 12 metres
the last two of the four required open water dives must include at least 20 minutes at a depth between 5 to 18 metres
no more than three dives can be completed in any one day
the following resources must be available to replicate industry conditions of operation and also for the purpose of assessing the candidate’s ability to identify features and operational use:first aid equipment
oxygen equipment
communication equipment for emergency response
diver flags of a type and size that meet local maritime regulator requirements.
Assessment must ensure use of:
a diving buddy with whom the candidate can dive
fins
masks
snorkels
cylinders and valves
buoyancy control devices with low pressure inflators
regulators with submersible pressure gauges
alternative air source
weight ballast systems
exposure suits suitable for conditions
timing devices
depth gauges
underwater compasses
signalling devices, acoustical and visual
dive computers
organisational safety and emergency response procedures for diving activities.
Assessors must satisfy the Standards for Registered Training Organisations requirements for assessors, and:
be an individual who is currently certified and sanctioned by an industry authorised organisation to teach and assess open water diving skills and to authorise the issuance of C-Card certification.</v>
      </c>
    </row>
    <row r="133">
      <c r="A133" s="15" t="str">
        <v/>
      </c>
      <c r="B133" s="15" t="str">
        <v/>
      </c>
    </row>
    <row r="134" xml:space="preserve">
      <c r="A134" s="14" t="str">
        <v>TLILIC0004 Licence to operate an order picking forklift truck</v>
      </c>
      <c r="B134"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Assessment of performance must be undertaken in the workplace and/or under realistic workplace conditions.
Simulators must not be used in the assessment of this unit of competency.
Resources for assessment must include access to:
a suitable order picking forklift truck that complies with AS 2359 Powered industrial trucks and is in a safe/serviceable condition in accordance with manufacturer requirements
suitable stock and compliant racking system to pick loads from
relevant and appropriate materials, tools, equipment and personal protective equipment currently used in industry
applicable documentation including:approved codes of practice and guidance
relevant Australian technical standards
manufacturer guidance material (instructions, specifications or checklists)
relevant industry standards and operating procedures (where applicable)</v>
      </c>
    </row>
    <row r="135">
      <c r="A135" s="15" t="str">
        <v/>
      </c>
      <c r="B135" s="15" t="str">
        <v/>
      </c>
    </row>
    <row r="136" xml:space="preserve">
      <c r="A136" s="14" t="str">
        <v>TLILIC0003 Licence to operate a forklift truck</v>
      </c>
      <c r="B136" s="14" t="str" xml:space="preserve">
        <v xml:space="preserve">As a minimum, assessors must satisfy applicable regulatory requirements, which include requirements in the Standards for Registered Training Organisations current at the time of assessment.
As a minimum, assessment must satisfy applicable regulatory requirements, which include requirements 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this is not appropriate, assessment must occur in simulated workplace operational situations that reflect workplace conditions.
Simulators must not be used in the assessment of this unit of competency.
Resources for assessment must include access to:
a suitable forklift truck that complies with AS 2359 Powered industrial trucks and is in a safe/serviceable condition in accordance with manufacturer requirements
associated equipment for forklift truck operations
suitable dynamic and non-dynamic loads
suitable compliant racking system
relevant and appropriate materials, tools, equipment and personal protective equipment currently used in industry
applicable documentation including:approved codes of practice and relevant guidance material
relevant Australian technical standards
manufacturer guidelines (instructions, requirements or checklists), relevant industry standards and operating procedures (where applicable)</v>
      </c>
    </row>
    <row r="137">
      <c r="A137" s="15" t="str">
        <v/>
      </c>
      <c r="B137" s="15" t="str">
        <v/>
      </c>
    </row>
    <row r="138" xml:space="preserve">
      <c r="A138" s="14" t="str">
        <v>SITXINV004 Control stock</v>
      </c>
      <c r="B138" s="14" t="str" xml:space="preserve">
        <v xml:space="preserve">Skills must be demonstrated in an operational tourism, travel, hospitality or events environment where stock levels are monitored and maintained.
This can be:
an industry workplace
a simulated industry environment.
Assessment must ensure access to:
computers, printers and stock control software systems
electronic equipment used for stock control
diverse and comprehensive range of tourism, travel, hospitality or event industry stock items that are monitored and maintained
current commercial stock control procedures and documentation for the ordering, monitoring and maintenance of stock.
Assessors must satisfy the Standards for Registered Training Organisations’ requirements for assessors.</v>
      </c>
    </row>
    <row r="139">
      <c r="A139" s="15" t="str">
        <v/>
      </c>
      <c r="B139" s="15" t="str">
        <v/>
      </c>
    </row>
    <row r="140" xml:space="preserve">
      <c r="A140" s="14" t="str">
        <v>TLILIC0040 Licence to operate a non-slewing mobile crane (greater than 3 tonnes capacity)</v>
      </c>
      <c r="B140"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must occur in workplace operational situations where it is appropriate to do so; where this is not appropriate, assessment must occur in simulated workplace operational situations that replicate workplace conditions.
Assessment processes and techniques must be appropriate to the language, literacy and numeracy requirements of the work being performed and the needs of the candidate.
Simulators must not be used in the practical assessment of this unit of competency.
Resources for assessment must include access to:
adequate area to allow for manoeuvring through an obstacle course as defined within the Performance Evidence
appropriate loads as outlined in the Performance Evidence requirements
associated personnel to sling and direct loads, including:licenced dogger or rigger
communications equipment, including:two-way radios
whistles
non-slewing articulated mobile crane with an RC 12 tonnes or greater in safe/serviceable/roadworthy working order in accordance with manufacturer specifications (side by side seats is preferred)
personal protective equipment (PPE)
relevant documentation for operating a non-slewing mobile crane over 3 tonnes, including:approved codes of practice and relevant guidance material
relevant Australian technical standards
manufacturer guidelines (instructions, requirements or checklists), relevant industry standards and operating procedures (where applicable).</v>
      </c>
    </row>
    <row r="141">
      <c r="A141" s="15" t="str">
        <v/>
      </c>
      <c r="B141" s="15" t="str">
        <v/>
      </c>
    </row>
    <row r="142" xml:space="preserve">
      <c r="A142" s="14" t="str">
        <v>TLILIC0024 Licence to operate a vehicle loading crane (capacity 10 metre tonnes and above)</v>
      </c>
      <c r="B142" s="14" t="str" xml:space="preserve">
        <v xml:space="preserve">Assessors must hold credentials specified within the Standards for Registered Training Organisations current at the time of assessment.
Assessment must satisfy the Principles of Assessment and Rules of Evidence and all regulatory requirements included within the Standards for Registered Training Organisations current at the time of assessment.
Assessment processes and techniques must be appropriate to the language, literacy and numeracy requirements of the work being performed and the needs of the candidate.
Assessment must occur in workplace operational situations where it is appropriate to do so; where this is not appropriate, assessment must occur in simulated workplace operational situations that replicate workplace conditions.
Simulators must not be used in the assessment of this unit of competency.
Resources for assessment must include access to:
vehicle loading crane with a RC of 10 metre tonnes or more in safe/serviceable working order in accordance with manufacturer specifications
appropriate loads as outlined in the Performance Evidence requirements
communication equipment, including:two-way radios
whistles
relevant personal protective equipment (PPE)
relevant documentation for operating a vehicle loading crane with an RC of 10 metre tonnes or more, including:approved codes of practice and relevant guidance material
relevant Australian technical standards
manufacturer guidelines (instructions, requirements or checklists), relevant industry standards and operating procedures (where applicable).</v>
      </c>
    </row>
    <row r="143">
      <c r="A143" s="15" t="str">
        <v/>
      </c>
      <c r="B143" s="15" t="str">
        <v/>
      </c>
    </row>
    <row r="144">
      <c r="A144" s="16" t="str">
        <v>AMSA Mandated Practical Assessment</v>
      </c>
      <c r="B144" s="16" t="str">
        <v>I= Task is to be completed by each candidate individually</v>
      </c>
    </row>
    <row r="145">
      <c r="A145" s="14" t="str">
        <v>AMSA Mandated Practical Assessment</v>
      </c>
      <c r="B145" s="14" t="str">
        <v>G= Task may be completed as a group activity with individual assessment. The group must contain no more than five candidates</v>
      </c>
    </row>
    <row r="146">
      <c r="A146" s="16" t="str">
        <v>AMSA Mandated Practical Assessment</v>
      </c>
      <c r="B146" s="16" t="str">
        <v>V= Task must be completed on a vessel that meets the requirements above while operating in navigable waters</v>
      </c>
    </row>
    <row r="147">
      <c r="A147" s="14" t="str">
        <v>AMSA Mandated Practical Assessment</v>
      </c>
      <c r="B147" s="14" t="str">
        <v>W= Task mat be complete either in a workshop or on a vessel that meets the requirements specified above</v>
      </c>
    </row>
    <row r="148">
      <c r="A148" s="16" t="str">
        <v>AMSA Mandated Practical Assessment</v>
      </c>
      <c r="B148" s="16" t="str">
        <v>P= Task must be completed in water (pool, or other safe water)</v>
      </c>
    </row>
    <row r="149">
      <c r="A149" s="14" t="str">
        <v>AMSA Mandated Practical Assessment</v>
      </c>
      <c r="B149" s="14" t="str">
        <v>F= Task must be completed on a fire ground</v>
      </c>
    </row>
    <row r="150">
      <c r="A150" s="16" t="str">
        <v>AMSA Mandated Practical Assessment</v>
      </c>
      <c r="B150" s="16" t="str">
        <v>S= Task may be completed on an approved simulator where realistic conditions are not feasible aboard a vessel (such as an absence of traffic or navigation marks</v>
      </c>
    </row>
    <row r="151">
      <c r="A151" s="14" t="str">
        <v>AMSA Mandated Practical Assessment</v>
      </c>
      <c r="B151" s="14" t="str">
        <v>O= Tasks may be completed by observation</v>
      </c>
    </row>
  </sheetData>
  <autoFilter ref="A1:B151"/>
  <ignoredErrors>
    <ignoredError numberStoredAsText="1" sqref="A1:B151"/>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7</vt:i4>
      </vt:variant>
    </vt:vector>
  </HeadingPairs>
  <TitlesOfParts>
    <vt:vector size="7" baseType="lpstr">
      <vt:lpstr>ESS Mapping</vt:lpstr>
      <vt:lpstr>Deck Mapping</vt:lpstr>
      <vt:lpstr>Navigation Mapping</vt:lpstr>
      <vt:lpstr>Engineering Mapping</vt:lpstr>
      <vt:lpstr>LROCP Mapping</vt:lpstr>
      <vt:lpstr>DMLA</vt:lpstr>
      <vt:lpstr>Assessment Conditions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